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By Pattern" sheetId="2" r:id="rId5"/>
    <sheet state="visible" name="Blind 75 Overlap" sheetId="3" r:id="rId6"/>
    <sheet state="visible" name="Pattern Coverage" sheetId="4" r:id="rId7"/>
    <sheet state="visible" name="By Category" sheetId="5" r:id="rId8"/>
    <sheet state="visible" name="FAANG Extras" sheetId="6" r:id="rId9"/>
  </sheets>
  <definedNames>
    <definedName hidden="1" localSheetId="0" name="_xlnm._FilterDatabase">Questions!$A$1:$J$199</definedName>
    <definedName hidden="1" localSheetId="5" name="_xlnm._FilterDatabase">'FAANG Extras'!$A$4:$K$76</definedName>
  </definedNames>
  <calcPr/>
  <extLst>
    <ext uri="GoogleSheetsCustomDataVersion2">
      <go:sheetsCustomData xmlns:go="http://customooxmlschemas.google.com/" r:id="rId10" roundtripDataChecksum="vUA2vozZW78Lvqs+sfFtk67TwUE8XhnjxysFGPKVmtM="/>
    </ext>
  </extLst>
</workbook>
</file>

<file path=xl/sharedStrings.xml><?xml version="1.0" encoding="utf-8"?>
<sst xmlns="http://schemas.openxmlformats.org/spreadsheetml/2006/main" count="3416" uniqueCount="490">
  <si>
    <t>The 28 Grokking patterns - deduplicated list, one record per LeetCode problem</t>
  </si>
  <si>
    <t>Pattern #</t>
  </si>
  <si>
    <t>Blind 75 - all 75 present in this workbook</t>
  </si>
  <si>
    <t>#</t>
  </si>
  <si>
    <t>LeetCode Problem</t>
  </si>
  <si>
    <t>Difficulty</t>
  </si>
  <si>
    <t>Pattern</t>
  </si>
  <si>
    <t>Category</t>
  </si>
  <si>
    <t>Link</t>
  </si>
  <si>
    <t>Blind 75</t>
  </si>
  <si>
    <t>Status</t>
  </si>
  <si>
    <t>1. Two Pointers  -  13 problems (5 in the Blind 75)</t>
  </si>
  <si>
    <t>Also Applies</t>
  </si>
  <si>
    <t>Notes</t>
  </si>
  <si>
    <t>Blind 75 Problem</t>
  </si>
  <si>
    <t>In AlgoExpert 200?</t>
  </si>
  <si>
    <t>AlgoExpert Question(s)</t>
  </si>
  <si>
    <t>Is Subsequence</t>
  </si>
  <si>
    <t>Grokking Pattern</t>
  </si>
  <si>
    <t>Match</t>
  </si>
  <si>
    <t>Easy</t>
  </si>
  <si>
    <t>Medium</t>
  </si>
  <si>
    <t>Two Sum</t>
  </si>
  <si>
    <t>Hard</t>
  </si>
  <si>
    <t>Very Hard</t>
  </si>
  <si>
    <t>Open</t>
  </si>
  <si>
    <t>Two Pointers</t>
  </si>
  <si>
    <t>Total</t>
  </si>
  <si>
    <t>Arrays</t>
  </si>
  <si>
    <t>In Blind 75</t>
  </si>
  <si>
    <t>Coverage</t>
  </si>
  <si>
    <t>Not Started</t>
  </si>
  <si>
    <t>Yes</t>
  </si>
  <si>
    <t>Two Number Sum</t>
  </si>
  <si>
    <t>Squares of a Sorted Array</t>
  </si>
  <si>
    <t>Direct</t>
  </si>
  <si>
    <t>Contains Duplicate</t>
  </si>
  <si>
    <t>Done</t>
  </si>
  <si>
    <t>Can be done using DP also</t>
  </si>
  <si>
    <t>String Compression</t>
  </si>
  <si>
    <t>Strings</t>
  </si>
  <si>
    <t>Added separately</t>
  </si>
  <si>
    <t>-</t>
  </si>
  <si>
    <t>Top K Frequent Elements</t>
  </si>
  <si>
    <t>Valid Palindrome</t>
  </si>
  <si>
    <t>Product of Array Except Self</t>
  </si>
  <si>
    <t>Fast and Slow Pointers</t>
  </si>
  <si>
    <t>Array Of Products</t>
  </si>
  <si>
    <t>3Sum</t>
  </si>
  <si>
    <t>Longest Consecutive Sequence</t>
  </si>
  <si>
    <t>Largest Range</t>
  </si>
  <si>
    <t>Hash Maps</t>
  </si>
  <si>
    <t>Single pass, store what you've seen, query for the complement</t>
  </si>
  <si>
    <t>Container With Most Water</t>
  </si>
  <si>
    <t>Three Number Sum</t>
  </si>
  <si>
    <t>Intersection of Two Linked Lists</t>
  </si>
  <si>
    <t>Sliding Window</t>
  </si>
  <si>
    <t>Linked Lists</t>
  </si>
  <si>
    <t>Best Time to Buy and Sell Stock</t>
  </si>
  <si>
    <t>Move Zeroes</t>
  </si>
  <si>
    <t>Combination Sum</t>
  </si>
  <si>
    <t>One Edit Distance</t>
  </si>
  <si>
    <t>Insert Interval</t>
  </si>
  <si>
    <t>Remove Nth Node From End of List</t>
  </si>
  <si>
    <t>Merge Intervals</t>
  </si>
  <si>
    <t>Intervals</t>
  </si>
  <si>
    <t>Merge Overlapping Intervals</t>
  </si>
  <si>
    <t>Non-overlapping Intervals</t>
  </si>
  <si>
    <t>Reverse Words in a String</t>
  </si>
  <si>
    <t>Meeting Rooms</t>
  </si>
  <si>
    <t>Sort Colors</t>
  </si>
  <si>
    <t>Sorting</t>
  </si>
  <si>
    <t>Meeting Rooms II</t>
  </si>
  <si>
    <t>Laptop Rentals</t>
  </si>
  <si>
    <t>2. Fast and Slow Pointers  -  4 problems (1 in the Blind 75)</t>
  </si>
  <si>
    <t>Missing Number</t>
  </si>
  <si>
    <t>Missing Numbers</t>
  </si>
  <si>
    <t>Linked List Cycle</t>
  </si>
  <si>
    <t>Variant</t>
  </si>
  <si>
    <t>Valid Anagram</t>
  </si>
  <si>
    <t>Group Anagrams</t>
  </si>
  <si>
    <t>One pointer going first then another pointer following later</t>
  </si>
  <si>
    <t>In-Place Manipulation of a Linked List</t>
  </si>
  <si>
    <t>Middle of the Linked List</t>
  </si>
  <si>
    <t>Encode and Decode Strings</t>
  </si>
  <si>
    <t>Linked List Cycle II</t>
  </si>
  <si>
    <t>Palindrome Check</t>
  </si>
  <si>
    <t>Longest Substring Without Repeating Characters</t>
  </si>
  <si>
    <t>Sort and Search</t>
  </si>
  <si>
    <t>Longest Substring Without Duplication</t>
  </si>
  <si>
    <t>Longest Repeating Character Replacement</t>
  </si>
  <si>
    <t>Palindrome Linked List</t>
  </si>
  <si>
    <t>Two Heaps</t>
  </si>
  <si>
    <t>Minimum Window Substring</t>
  </si>
  <si>
    <t>Smallest Substring Containing</t>
  </si>
  <si>
    <t>3. Sliding Window  -  4 problems (3 in the Blind 75)</t>
  </si>
  <si>
    <t>Longest Palindromic Substring</t>
  </si>
  <si>
    <t>Palindromic Substrings</t>
  </si>
  <si>
    <t>HashSet OR two pointers (Floyd's algo)</t>
  </si>
  <si>
    <t>Valid Parentheses</t>
  </si>
  <si>
    <t>K-way Merge</t>
  </si>
  <si>
    <t>Balanced Brackets</t>
  </si>
  <si>
    <t>Rotate Image</t>
  </si>
  <si>
    <t>Maximum Size Subarray Sum Equals k</t>
  </si>
  <si>
    <t>Spiral Matrix</t>
  </si>
  <si>
    <t>Spiral Traverse</t>
  </si>
  <si>
    <t>Set Matrix Zeroes</t>
  </si>
  <si>
    <t>Find Minimum in Rotated Sorted Array</t>
  </si>
  <si>
    <t>4. Intervals  -  6 problems (5 in the Blind 75)</t>
  </si>
  <si>
    <t>Top K Elements</t>
  </si>
  <si>
    <t>Search in Rotated Sorted Array</t>
  </si>
  <si>
    <t>Shifted Binary Search</t>
  </si>
  <si>
    <t>Reverse Linked List</t>
  </si>
  <si>
    <t>Merge Two Sorted Lists</t>
  </si>
  <si>
    <t>Merge Linked Lists</t>
  </si>
  <si>
    <t>Modified Binary Search</t>
  </si>
  <si>
    <t>Reorder List</t>
  </si>
  <si>
    <t>Zip Linked List</t>
  </si>
  <si>
    <t>Heaps</t>
  </si>
  <si>
    <t>Remove Kth Node From End</t>
  </si>
  <si>
    <t>Merge k Sorted Lists</t>
  </si>
  <si>
    <t>Subsets</t>
  </si>
  <si>
    <t>Meeting Scheduler</t>
  </si>
  <si>
    <t>Merge Sorted Arrays</t>
  </si>
  <si>
    <t>Invert Binary Tree</t>
  </si>
  <si>
    <t>5. In-Place Manipulation of a Linked List  -  8 problems (3 in the Blind 75)</t>
  </si>
  <si>
    <t>Maximum Depth of Binary Tree</t>
  </si>
  <si>
    <t>Remove Duplicates from Sorted List</t>
  </si>
  <si>
    <t>Node Depths</t>
  </si>
  <si>
    <t>Same Tree</t>
  </si>
  <si>
    <t>Add Two Numbers</t>
  </si>
  <si>
    <t>Subtree of Another Tree</t>
  </si>
  <si>
    <t>Binary Tree Level Order Traversal</t>
  </si>
  <si>
    <t>Construct Binary Tree from Preorder and Inorder Traversal</t>
  </si>
  <si>
    <t>Greedy Techniques</t>
  </si>
  <si>
    <t>Binary Tree Maximum Path Sum</t>
  </si>
  <si>
    <t>Max Path Sum In Binary Tree</t>
  </si>
  <si>
    <t>Serialize and Deserialize Binary Tree</t>
  </si>
  <si>
    <t>Rotate List</t>
  </si>
  <si>
    <t>Lowest Common Ancestor of a Binary Search Tree</t>
  </si>
  <si>
    <t>Partition List</t>
  </si>
  <si>
    <t>Validate Binary Search Tree</t>
  </si>
  <si>
    <t>Validate BST</t>
  </si>
  <si>
    <t>Kth Smallest Element in a BST</t>
  </si>
  <si>
    <t>Backtracking</t>
  </si>
  <si>
    <t>Find Kth Largest Value In BST</t>
  </si>
  <si>
    <t>Swap Nodes in Pairs</t>
  </si>
  <si>
    <t>Implement Trie (Prefix Tree)</t>
  </si>
  <si>
    <t>Suffix Trie Construction</t>
  </si>
  <si>
    <t>6. Two Heaps  -  1 problems (1 in the Blind 75)</t>
  </si>
  <si>
    <t>Design Add and Search Words Data Structure</t>
  </si>
  <si>
    <t>Find Median from Data Stream</t>
  </si>
  <si>
    <t>Word Search II</t>
  </si>
  <si>
    <t>7. K-way Merge  -  1 problems (1 in the Blind 75)</t>
  </si>
  <si>
    <t>Boggle Board</t>
  </si>
  <si>
    <t>Dynamic Programming</t>
  </si>
  <si>
    <t>8. Top K Elements  -  2 problems (1 in the Blind 75)</t>
  </si>
  <si>
    <t>Continuous Median</t>
  </si>
  <si>
    <t>Word Search</t>
  </si>
  <si>
    <t>Kth Largest Element in an Array</t>
  </si>
  <si>
    <t>Searching</t>
  </si>
  <si>
    <t>Number of Islands</t>
  </si>
  <si>
    <t>Cyclic Sort</t>
  </si>
  <si>
    <t>River Sizes</t>
  </si>
  <si>
    <t>Clone Graph</t>
  </si>
  <si>
    <t>9. Modified Binary Search  -  8 problems (2 in the Blind 75)</t>
  </si>
  <si>
    <t>Binary Search</t>
  </si>
  <si>
    <t>Pacific Atlantic Water Flow</t>
  </si>
  <si>
    <t>Course Schedule</t>
  </si>
  <si>
    <t>Closest Binary Search Tree Value</t>
  </si>
  <si>
    <t>Binary Search Trees</t>
  </si>
  <si>
    <t>Topological Sort</t>
  </si>
  <si>
    <t>Cycle In Graph</t>
  </si>
  <si>
    <t>Number of Connected Components in an Undirected Graph</t>
  </si>
  <si>
    <t>Union Find</t>
  </si>
  <si>
    <t>Graph Valid Tree</t>
  </si>
  <si>
    <t>Find First and Last Position of Element in Sorted Array</t>
  </si>
  <si>
    <t>Alien Dictionary</t>
  </si>
  <si>
    <t>Fixed Point</t>
  </si>
  <si>
    <t>Climbing Stairs</t>
  </si>
  <si>
    <t>Staircase Traversal</t>
  </si>
  <si>
    <t>House Robber</t>
  </si>
  <si>
    <t>Median of Two Sorted Arrays</t>
  </si>
  <si>
    <t>Max Subset Sum No Adjacent</t>
  </si>
  <si>
    <t>Matrices</t>
  </si>
  <si>
    <t>House Robber II</t>
  </si>
  <si>
    <t>Split Array Largest Sum</t>
  </si>
  <si>
    <t>Decode Ways</t>
  </si>
  <si>
    <t>10. Subsets  -  2 problems (0 in the Blind 75)</t>
  </si>
  <si>
    <t>Permutations</t>
  </si>
  <si>
    <t>Coin Change</t>
  </si>
  <si>
    <t>Recursion</t>
  </si>
  <si>
    <t>Stacks</t>
  </si>
  <si>
    <t>Min Number Of Coins For Change</t>
  </si>
  <si>
    <t>Maximum Product Subarray</t>
  </si>
  <si>
    <t>Word Break</t>
  </si>
  <si>
    <t>11. Greedy Techniques  -  4 problems (1 in the Blind 75)</t>
  </si>
  <si>
    <t>Numbers In Pi</t>
  </si>
  <si>
    <t>Boats to Save People</t>
  </si>
  <si>
    <t>Longest Increasing Subsequence</t>
  </si>
  <si>
    <t>Greedy Algorithms</t>
  </si>
  <si>
    <t>Graphs</t>
  </si>
  <si>
    <t>One LeetCode problem covering 2 AlgoExpert questions: Find Three Largest Numbers, Quickselect</t>
  </si>
  <si>
    <t>Unique Paths</t>
  </si>
  <si>
    <t>Gas Station</t>
  </si>
  <si>
    <t>Number Of Ways To Traverse Graph</t>
  </si>
  <si>
    <t>Jump Game</t>
  </si>
  <si>
    <t>Tree Depth-First Search</t>
  </si>
  <si>
    <t>Combination Sum IV</t>
  </si>
  <si>
    <t>Candy</t>
  </si>
  <si>
    <t>Maximum Subarray</t>
  </si>
  <si>
    <t>Kadane's Algorithm</t>
  </si>
  <si>
    <t>12. Backtracking  -  8 problems (3 in the Blind 75)</t>
  </si>
  <si>
    <t>Number of 1 Bits</t>
  </si>
  <si>
    <t>Tree Breadth-First Search</t>
  </si>
  <si>
    <t>Counting Bits</t>
  </si>
  <si>
    <t>Letter Combinations of a Phone Number</t>
  </si>
  <si>
    <t>Reverse Bits</t>
  </si>
  <si>
    <t>Restore IP Addresses</t>
  </si>
  <si>
    <t>Sum of Two Integers</t>
  </si>
  <si>
    <t>38 of 75 already in the AlgoExpert 200  |  37 added as extra rows  |  75 of 75 now in this workbook</t>
  </si>
  <si>
    <t>Trie</t>
  </si>
  <si>
    <t>Rows marked 'Added separately' now sit inside their own pattern section on the Questions and By Pattern tabs, with Source = 'Blind 75 gap'. Several are already drilled via a harder AlgoExpert sibling - the Notes column says which, so you can deprioritise those.</t>
  </si>
  <si>
    <t>Generate Parentheses</t>
  </si>
  <si>
    <t>Sudoku Solver</t>
  </si>
  <si>
    <t>N-Queens</t>
  </si>
  <si>
    <t>13. Dynamic Programming  -  30 problems (13 in the Blind 75)</t>
  </si>
  <si>
    <t>Knowing What to Track</t>
  </si>
  <si>
    <t>Fibonacci Number</t>
  </si>
  <si>
    <t>Coin Change II</t>
  </si>
  <si>
    <t>Edit Distance</t>
  </si>
  <si>
    <t>Custom Data Structures</t>
  </si>
  <si>
    <t>Bitwise Manipulation</t>
  </si>
  <si>
    <t>Famous Algorithms</t>
  </si>
  <si>
    <t>New 21 Game</t>
  </si>
  <si>
    <t>Math and Geometry</t>
  </si>
  <si>
    <t>Interleaving String</t>
  </si>
  <si>
    <t>Jump Game II</t>
  </si>
  <si>
    <t>Longest Common Subsequence</t>
  </si>
  <si>
    <t>Max Sum of Rectangle No Larger Than K</t>
  </si>
  <si>
    <t>Number of Dice Rolls With Target Sum</t>
  </si>
  <si>
    <t>Partition Equal Subset Sum</t>
  </si>
  <si>
    <t>Russian Doll Envelopes</t>
  </si>
  <si>
    <t>Trapping Rain Water</t>
  </si>
  <si>
    <t>Best Time to Buy and Sell Stock IV</t>
  </si>
  <si>
    <t>Largest 1-Bordered Square</t>
  </si>
  <si>
    <t>Longest String Chain</t>
  </si>
  <si>
    <t>Palindrome Partitioning II</t>
  </si>
  <si>
    <t>Unique Binary Search Trees</t>
  </si>
  <si>
    <t>14. Cyclic Sort  -  2 problems (1 in the Blind 75)</t>
  </si>
  <si>
    <t>Find the Duplicate Number</t>
  </si>
  <si>
    <t>15. Topological Sort  -  2 problems (1 in the Blind 75)</t>
  </si>
  <si>
    <t>Course Schedule II</t>
  </si>
  <si>
    <t>16. Sort and Search  -  2 problems (0 in the Blind 75)</t>
  </si>
  <si>
    <t>Sort an Array</t>
  </si>
  <si>
    <t>Count of Smaller Numbers After Self</t>
  </si>
  <si>
    <t>Sorting, Binary Search Trees</t>
  </si>
  <si>
    <t>17. Matrices  -  6 problems (3 in the Blind 75)</t>
  </si>
  <si>
    <t>Transpose Matrix</t>
  </si>
  <si>
    <t>Search a 2D Matrix II</t>
  </si>
  <si>
    <t>Diagonal Traverse</t>
  </si>
  <si>
    <t>18. Stacks  -  12 problems (1 in the Blind 75)</t>
  </si>
  <si>
    <t>Binary Tree Inorder Traversal</t>
  </si>
  <si>
    <t>Binary Trees, Binary Search Trees</t>
  </si>
  <si>
    <t>Asteroid Collision</t>
  </si>
  <si>
    <t>Buildings With an Ocean View</t>
  </si>
  <si>
    <t>Evaluate Reverse Polish Notation</t>
  </si>
  <si>
    <t>Next Greater Element II</t>
  </si>
  <si>
    <t>Remove K Digits</t>
  </si>
  <si>
    <t>Largest Rectangle in Histogram</t>
  </si>
  <si>
    <t>Simplify Path</t>
  </si>
  <si>
    <t>Leaf-Similar Trees</t>
  </si>
  <si>
    <t>Binary Trees</t>
  </si>
  <si>
    <t>Longest Valid Parentheses</t>
  </si>
  <si>
    <t>Maximal Rectangle</t>
  </si>
  <si>
    <t>19. Graphs  -  16 problems (4 in the Blind 75)</t>
  </si>
  <si>
    <t>Find if Path Exists in Graph</t>
  </si>
  <si>
    <t>Circular Array Loop</t>
  </si>
  <si>
    <t>Is Graph Bipartite?</t>
  </si>
  <si>
    <t>Min Cost to Connect All Points</t>
  </si>
  <si>
    <t>Minesweeper</t>
  </si>
  <si>
    <t>Number of Enclaves</t>
  </si>
  <si>
    <t>One LeetCode problem covering 7 AlgoExpert questions: Bubble Sort, Insertion Sort, Selection Sort, Quick Sort, Heap Sort, Radix Sort, Merge Sort</t>
  </si>
  <si>
    <t>Rotting Oranges</t>
  </si>
  <si>
    <t>One LeetCode problem covering 2 AlgoExpert questions: Right Smaller Than, Count Inversions</t>
  </si>
  <si>
    <t>Making A Large Island</t>
  </si>
  <si>
    <t>Minimum Knight Moves</t>
  </si>
  <si>
    <t>Network Delay Time</t>
  </si>
  <si>
    <t>Critical Connections in a Network</t>
  </si>
  <si>
    <t>Shortest Path in Binary Matrix</t>
  </si>
  <si>
    <t>20. Tree Depth-First Search  -  25 problems (9 in the Blind 75)</t>
  </si>
  <si>
    <t>Binary Tree Paths</t>
  </si>
  <si>
    <t>Evaluate Boolean Binary Tree</t>
  </si>
  <si>
    <t>Nested List Weight Sum</t>
  </si>
  <si>
    <t>One LeetCode problem covering 2 AlgoExpert questions: BST Traversal, Iterative In-order Traversal</t>
  </si>
  <si>
    <t>Balanced Binary Tree</t>
  </si>
  <si>
    <t>Construct Binary Search Tree from Preorder Traversal</t>
  </si>
  <si>
    <t>Convert Sorted Array to Binary Search Tree</t>
  </si>
  <si>
    <t>Diameter of Binary Tree</t>
  </si>
  <si>
    <t>Inorder Successor in BST</t>
  </si>
  <si>
    <t>Lowest Common Ancestor of a Binary Tree</t>
  </si>
  <si>
    <t>Graphs, Recursion</t>
  </si>
  <si>
    <t>Maximum Product of Splitted Binary Tree</t>
  </si>
  <si>
    <t>Merge Two Binary Trees</t>
  </si>
  <si>
    <t>One LeetCode problem covering 2 AlgoExpert questions: Depth-first Search, Breadth-first Search</t>
  </si>
  <si>
    <t>Symmetric Tree</t>
  </si>
  <si>
    <t>Largest BST Subtree</t>
  </si>
  <si>
    <t>Recover Binary Search Tree</t>
  </si>
  <si>
    <t>Top K Elements, Union Find</t>
  </si>
  <si>
    <t>One LeetCode problem covering 2 AlgoExpert questions: Kruskal's Algorithm, Prim's Algorithm</t>
  </si>
  <si>
    <t>Convert Binary Search Tree to Sorted Doubly Linked List</t>
  </si>
  <si>
    <t>Populating Next Right Pointers in Each Node</t>
  </si>
  <si>
    <t>21. Tree Breadth-First Search  -  3 problems (2 in the Blind 75)</t>
  </si>
  <si>
    <t>All Nodes Distance K in Binary Tree</t>
  </si>
  <si>
    <t>22. Trie  -  4 problems (2 in the Blind 75)</t>
  </si>
  <si>
    <t>Tries</t>
  </si>
  <si>
    <t>Concatenated Words</t>
  </si>
  <si>
    <t>Stream of Characters</t>
  </si>
  <si>
    <t>23. Hash Maps  -  10 problems (4 in the Blind 75)</t>
  </si>
  <si>
    <t>Find Common Characters</t>
  </si>
  <si>
    <t>First Unique Character in a String</t>
  </si>
  <si>
    <t>Ransom Note</t>
  </si>
  <si>
    <t>Subarray Sum Equals K</t>
  </si>
  <si>
    <t>Word Subsets</t>
  </si>
  <si>
    <t>4Sum</t>
  </si>
  <si>
    <t>24. Knowing What to Track  -  10 problems (3 in the Blind 75)</t>
  </si>
  <si>
    <t>Longest Mountain in Array</t>
  </si>
  <si>
    <t>Majority Element</t>
  </si>
  <si>
    <t>Maximize Distance to Closest Person</t>
  </si>
  <si>
    <t>Monotonic Array</t>
  </si>
  <si>
    <t>Shortest Unsorted Continuous Subarray</t>
  </si>
  <si>
    <t>Word Pattern II</t>
  </si>
  <si>
    <t>Find the Index of the First Occurrence in a String</t>
  </si>
  <si>
    <t>One LeetCode problem covering 2 AlgoExpert questions: Youngest Common Ancestor, Lowest Common Manager</t>
  </si>
  <si>
    <t>25. Union Find  -  2 problems (2 in the Blind 75)</t>
  </si>
  <si>
    <t>26. Custom Data Structures  -  5 problems (0 in the Blind 75)</t>
  </si>
  <si>
    <t>Design Linked List</t>
  </si>
  <si>
    <t>Insert into a Binary Search Tree</t>
  </si>
  <si>
    <t>Kth Largest Element in a Stream</t>
  </si>
  <si>
    <t>Min Stack</t>
  </si>
  <si>
    <t>LRU Cache</t>
  </si>
  <si>
    <t>27. Bitwise Manipulation  -  4 problems (4 in the Blind 75)</t>
  </si>
  <si>
    <t>28. Math and Geometry  -  4 problems (0 in the Blind 75)</t>
  </si>
  <si>
    <t>Shifting Letters</t>
  </si>
  <si>
    <t>Detect Squares</t>
  </si>
  <si>
    <t>Max Points on a Line</t>
  </si>
  <si>
    <t>Minimum Area Rectangle</t>
  </si>
  <si>
    <t>AlgoExpert's own categories (blank/'-' rows are the Blind 75 additions)</t>
  </si>
  <si>
    <t>Blind 75 additions</t>
  </si>
  <si>
    <t>Counts use a contains-match, because three merged rows carry two AlgoExpert categories. The column therefore double-counts those three, and will total slightly above the row count.</t>
  </si>
  <si>
    <t>FAANG Top 200 - the 72 problems not already on the Questions tab</t>
  </si>
  <si>
    <t>Kept separate from the main list on purpose. Nothing here is merged into Questions. Sorted by topic bucket, then by FAANG frequency.</t>
  </si>
  <si>
    <t>LC #</t>
  </si>
  <si>
    <t>Problem</t>
  </si>
  <si>
    <t>Topic / Pattern</t>
  </si>
  <si>
    <t>Frequency</t>
  </si>
  <si>
    <t>Companies</t>
  </si>
  <si>
    <t>Variant of (already in our list)</t>
  </si>
  <si>
    <t>Find All Duplicates in an Array</t>
  </si>
  <si>
    <t>Arrays &amp; Hashing</t>
  </si>
  <si>
    <t>★★★★</t>
  </si>
  <si>
    <t>Amazon, Google</t>
  </si>
  <si>
    <t>Their file labels this "Find All Duplicates in Array"; the actual LeetCode title is "Find All Duplicates in an Array".</t>
  </si>
  <si>
    <t>Rotate Array</t>
  </si>
  <si>
    <t>Amazon, Microsoft</t>
  </si>
  <si>
    <t>Next Permutation</t>
  </si>
  <si>
    <t>Google, Microsoft, Amazon</t>
  </si>
  <si>
    <t>Two Sum II – Input Array Is Sorted</t>
  </si>
  <si>
    <t>Amazon, Apple</t>
  </si>
  <si>
    <t>Remove Duplicates from Sorted Array</t>
  </si>
  <si>
    <t>★★★</t>
  </si>
  <si>
    <t>Sliding Window Maximum</t>
  </si>
  <si>
    <t>Sliding Window / Deque</t>
  </si>
  <si>
    <t>★★★★★</t>
  </si>
  <si>
    <t>Find All Anagrams in a String</t>
  </si>
  <si>
    <t>Amazon, Facebook</t>
  </si>
  <si>
    <t>Fruit Into Baskets</t>
  </si>
  <si>
    <t>Minimum Size Subarray Sum</t>
  </si>
  <si>
    <t>Permutation in String</t>
  </si>
  <si>
    <t>Amazon, Google, Meta</t>
  </si>
  <si>
    <t>Car Fleet</t>
  </si>
  <si>
    <t>Stack / Monotonic</t>
  </si>
  <si>
    <t>Google</t>
  </si>
  <si>
    <t>Daily Temperatures</t>
  </si>
  <si>
    <t>Decode String</t>
  </si>
  <si>
    <t>Stack</t>
  </si>
  <si>
    <t>Google, Amazon</t>
  </si>
  <si>
    <t>Find Peak Element</t>
  </si>
  <si>
    <t>Koko Eating Bananas</t>
  </si>
  <si>
    <t>Search a 2D Matrix</t>
  </si>
  <si>
    <t>Search in Rotated Sorted Array II</t>
  </si>
  <si>
    <t>Time Based Key-Value Store</t>
  </si>
  <si>
    <t>LeetCode Premium.</t>
  </si>
  <si>
    <t>First Bad Version</t>
  </si>
  <si>
    <t>Reverse Nodes in K-Group</t>
  </si>
  <si>
    <t>Linked List</t>
  </si>
  <si>
    <t>Copy List with Random Pointer</t>
  </si>
  <si>
    <t>Sort List</t>
  </si>
  <si>
    <t>Linked List / Merge Sort</t>
  </si>
  <si>
    <t>Binary Tree Right Side View</t>
  </si>
  <si>
    <t>Trees / BFS</t>
  </si>
  <si>
    <t>Count Good Nodes in Binary Tree</t>
  </si>
  <si>
    <t>Trees / DFS</t>
  </si>
  <si>
    <t>Flatten Binary Tree to Linked List</t>
  </si>
  <si>
    <t>Path Sum II</t>
  </si>
  <si>
    <t>IPO</t>
  </si>
  <si>
    <t>Heap / Greedy</t>
  </si>
  <si>
    <t>Amazon</t>
  </si>
  <si>
    <t>Design Twitter</t>
  </si>
  <si>
    <t>Heap / HashMap</t>
  </si>
  <si>
    <t>K Closest Points to Origin</t>
  </si>
  <si>
    <t>Heap</t>
  </si>
  <si>
    <t>Amazon, Google, Facebook</t>
  </si>
  <si>
    <t>Task Scheduler</t>
  </si>
  <si>
    <t>Last Stone Weight</t>
  </si>
  <si>
    <t>Combination Sum II</t>
  </si>
  <si>
    <t>Palindrome Partitioning</t>
  </si>
  <si>
    <t>Backtracking / DP</t>
  </si>
  <si>
    <t>Subsets II</t>
  </si>
  <si>
    <t>Reconstruct Itinerary</t>
  </si>
  <si>
    <t>Graphs / Euler Path</t>
  </si>
  <si>
    <t>Swim in Rising Water</t>
  </si>
  <si>
    <t>Graphs / Dijkstra</t>
  </si>
  <si>
    <t>Word Ladder</t>
  </si>
  <si>
    <t>Graphs / BFS</t>
  </si>
  <si>
    <t>Amazon, Google, LinkedIn</t>
  </si>
  <si>
    <t>Cheapest Flights Within K Stops</t>
  </si>
  <si>
    <t>Graphs / Bellman-Ford</t>
  </si>
  <si>
    <t>Max Area of Island</t>
  </si>
  <si>
    <t>Graphs / DFS</t>
  </si>
  <si>
    <t>Connecting Cities With Minimum Cost</t>
  </si>
  <si>
    <t>Graphs / MST</t>
  </si>
  <si>
    <t>Their file labels this "Minimum Spanning Tree (Prim's)"; the actual LeetCode title is "Connecting Cities With Minimum Cost". LeetCode Premium.</t>
  </si>
  <si>
    <t>Redundant Connection</t>
  </si>
  <si>
    <t>Graphs / Union-Find</t>
  </si>
  <si>
    <t>Surrounded Regions</t>
  </si>
  <si>
    <t>Walls and Gates</t>
  </si>
  <si>
    <t>Amazon, Facebook, Google</t>
  </si>
  <si>
    <t>Find the Town Judge</t>
  </si>
  <si>
    <t>Min Cost Climbing Stairs</t>
  </si>
  <si>
    <t>1-D DP</t>
  </si>
  <si>
    <t>Burst Balloons</t>
  </si>
  <si>
    <t>2-D DP</t>
  </si>
  <si>
    <t>Regular Expression Matching</t>
  </si>
  <si>
    <t>Google, Amazon, Facebook</t>
  </si>
  <si>
    <t>Minimum Path Sum</t>
  </si>
  <si>
    <t>Target Sum</t>
  </si>
  <si>
    <t>2-D DP / Backtracking</t>
  </si>
  <si>
    <t>Unique Paths II</t>
  </si>
  <si>
    <t>Hand of Straights</t>
  </si>
  <si>
    <t>Greedy</t>
  </si>
  <si>
    <t>Minimum Number of Arrows to Burst Balloons</t>
  </si>
  <si>
    <t>Greedy / Intervals</t>
  </si>
  <si>
    <t>Partition Labels</t>
  </si>
  <si>
    <t>Minimum Interval to Include Each Query</t>
  </si>
  <si>
    <t>Intervals / Heap</t>
  </si>
  <si>
    <t>Multiply Strings</t>
  </si>
  <si>
    <t>Math</t>
  </si>
  <si>
    <t>Pow(x, n)</t>
  </si>
  <si>
    <t>Math / Binary Search</t>
  </si>
  <si>
    <t>Amazon, Google, Microsoft</t>
  </si>
  <si>
    <t>Happy Number</t>
  </si>
  <si>
    <t>Plus One</t>
  </si>
  <si>
    <t>Reverse Integer</t>
  </si>
  <si>
    <t>Bit Manipulation / Math</t>
  </si>
  <si>
    <t>Amazon, Apple, Google</t>
  </si>
  <si>
    <t>Single Number</t>
  </si>
  <si>
    <t>Bit Manipulation</t>
  </si>
  <si>
    <t>Count and Say</t>
  </si>
  <si>
    <t>String</t>
  </si>
  <si>
    <t>Integer to Roman</t>
  </si>
  <si>
    <t>Minimum Deletions to Make Character Frequencies Unique</t>
  </si>
  <si>
    <t>String / Greedy</t>
  </si>
  <si>
    <t>Their file labels this "Minimum Deletions to Make Char Frequencies Unique"; the actual LeetCode title is "Minimum Deletions to Make Character Frequencies Unique".</t>
  </si>
  <si>
    <t>String to Integer (atoi)</t>
  </si>
  <si>
    <t>Zigzag Conversion</t>
  </si>
  <si>
    <t>Longest Common Prefix</t>
  </si>
  <si>
    <t>Longest Palindrome</t>
  </si>
  <si>
    <t>String / HashMap</t>
  </si>
  <si>
    <t>Roman to Integer</t>
  </si>
  <si>
    <t>Design In-Memory File System</t>
  </si>
  <si>
    <t>System Design / Trie</t>
  </si>
  <si>
    <t>LFU Cache</t>
  </si>
  <si>
    <t>System Design / HashMap</t>
  </si>
  <si>
    <t>Insert Delete GetRandom O(1)</t>
  </si>
  <si>
    <t>Design HashMap</t>
  </si>
  <si>
    <t>Source: your FAANG_Top200_LeetCode.xlsx. That file is titled 'Top 200' but holds 191 rows, and LeetCode #53 appears twice (as 'Maximum Subarray' and 'Maximum Subarray (Kadane's)'), so it is 190 distinct problems. 119 of them already sit on the Questions tab; these 72 are the remainder.</t>
  </si>
  <si>
    <t>Difficulty, Topic, Companies and Frequency are carried over from your file unchanged. Links are mine - your file had problem numbers but no URLs, so I built the slugs from the LeetCode titles.</t>
  </si>
  <si>
    <t>The 'Variant of' column flags 22 problems that are a sibling, sequel or near-duplicate of something already on the Questions tab. Cheap to pick up once the parent is done - deprioritise accordingly. That leaves roughly 50 genuinely new problems.</t>
  </si>
  <si>
    <t>Biggest clusters here are Graphs (10), String (8) and Binary Search (6). The five Heap and five Sliding Window entries are the ones worth pulling forward - both patterns are thin on the Questions tab (Two Heaps and K-way Merge have one problem each).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</si>
</sst>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1F3864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/>
    <font>
      <u/>
      <sz val="11.0"/>
      <color rgb="FF0563C1"/>
      <name val="Arial"/>
    </font>
    <font>
      <sz val="11.0"/>
      <color rgb="FF808080"/>
      <name val="Arial"/>
    </font>
    <font>
      <color theme="1"/>
      <name val="Calibri"/>
      <scheme val="minor"/>
    </font>
    <font>
      <i/>
      <sz val="9.0"/>
      <color rgb="FF7F7F7F"/>
      <name val="Arial"/>
    </font>
    <font>
      <u/>
      <sz val="11.0"/>
      <color rgb="FF0563C1"/>
      <name val="Arial"/>
    </font>
    <font>
      <i/>
      <sz val="9.0"/>
      <color rgb="FF595959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  <fill>
      <patternFill patternType="solid">
        <fgColor rgb="FFEDE7F6"/>
        <bgColor rgb="FFEDE7F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7F9FC"/>
        <bgColor rgb="FFF7F9FC"/>
      </patternFill>
    </fill>
    <fill>
      <patternFill patternType="solid">
        <fgColor rgb="FFF2DCDB"/>
        <bgColor rgb="FFF2DCDB"/>
      </patternFill>
    </fill>
    <fill>
      <patternFill patternType="solid">
        <fgColor rgb="FFFFF7E6"/>
        <bgColor rgb="FFFFF7E6"/>
      </patternFill>
    </fill>
    <fill>
      <patternFill patternType="solid">
        <fgColor rgb="FFF2F2F2"/>
        <bgColor rgb="FFF2F2F2"/>
      </patternFill>
    </fill>
    <fill>
      <patternFill patternType="solid">
        <fgColor rgb="FFFFE0E0"/>
        <bgColor rgb="FFFFE0E0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readingOrder="0"/>
    </xf>
    <xf borderId="1" fillId="6" fontId="4" numFmtId="0" xfId="0" applyAlignment="1" applyBorder="1" applyFill="1" applyFont="1">
      <alignment horizontal="center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7" fontId="4" numFmtId="0" xfId="0" applyAlignment="1" applyBorder="1" applyFill="1" applyFont="1">
      <alignment horizontal="center" shrinkToFit="0" vertical="bottom" wrapText="0"/>
    </xf>
    <xf borderId="1" fillId="8" fontId="4" numFmtId="0" xfId="0" applyAlignment="1" applyBorder="1" applyFill="1" applyFont="1">
      <alignment horizontal="center" shrinkToFit="0" vertical="bottom" wrapText="0"/>
    </xf>
    <xf borderId="1" fillId="7" fontId="5" numFmtId="0" xfId="0" applyAlignment="1" applyBorder="1" applyFill="1" applyFont="1">
      <alignment horizontal="center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9" fontId="4" numFmtId="0" xfId="0" applyAlignment="1" applyBorder="1" applyFill="1" applyFont="1">
      <alignment horizontal="center" shrinkToFit="0" vertical="bottom" wrapText="0"/>
    </xf>
    <xf borderId="1" fillId="10" fontId="4" numFmtId="0" xfId="0" applyAlignment="1" applyBorder="1" applyFill="1" applyFont="1">
      <alignment horizontal="center" shrinkToFit="0" vertical="bottom" wrapText="0"/>
    </xf>
    <xf borderId="1" fillId="11" fontId="4" numFmtId="0" xfId="0" applyAlignment="1" applyBorder="1" applyFill="1" applyFont="1">
      <alignment horizontal="center" shrinkToFit="0" vertical="bottom" wrapText="0"/>
    </xf>
    <xf borderId="1" fillId="10" fontId="4" numFmtId="0" xfId="0" applyAlignment="1" applyBorder="1" applyFill="1" applyFont="1">
      <alignment shrinkToFit="0" vertical="bottom" wrapText="0"/>
    </xf>
    <xf borderId="1" fillId="10" fontId="11" numFmtId="0" xfId="0" applyAlignment="1" applyBorder="1" applyFill="1" applyFont="1">
      <alignment horizontal="center" shrinkToFit="0" vertical="bottom" wrapText="0"/>
    </xf>
    <xf borderId="1" fillId="10" fontId="8" numFmtId="0" xfId="0" applyAlignment="1" applyBorder="1" applyFill="1" applyFont="1">
      <alignment shrinkToFit="0" vertical="bottom" wrapText="0"/>
    </xf>
    <xf borderId="1" fillId="10" fontId="10" numFmtId="0" xfId="0" applyAlignment="1" applyBorder="1" applyFill="1" applyFont="1">
      <alignment readingOrder="0" shrinkToFit="0" vertical="bottom" wrapText="0"/>
    </xf>
    <xf borderId="1" fillId="10" fontId="10" numFmtId="0" xfId="0" applyAlignment="1" applyBorder="1" applyFill="1" applyFont="1">
      <alignment shrinkToFit="0" vertical="bottom" wrapText="0"/>
    </xf>
    <xf borderId="1" fillId="12" fontId="4" numFmtId="0" xfId="0" applyAlignment="1" applyBorder="1" applyFill="1" applyFont="1">
      <alignment shrinkToFit="0" vertical="bottom" wrapText="0"/>
    </xf>
    <xf borderId="5" fillId="3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0" fontId="12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12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0"/>
    </xf>
    <xf borderId="1" fillId="13" fontId="8" numFmtId="0" xfId="0" applyAlignment="1" applyBorder="1" applyFill="1" applyFont="1">
      <alignment shrinkToFit="0" vertical="bottom" wrapText="0"/>
    </xf>
    <xf borderId="1" fillId="14" fontId="4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binary-search/" TargetMode="External"/><Relationship Id="rId190" Type="http://schemas.openxmlformats.org/officeDocument/2006/relationships/hyperlink" Target="https://leetcode.com/problems/lru-cache/" TargetMode="External"/><Relationship Id="rId42" Type="http://schemas.openxmlformats.org/officeDocument/2006/relationships/hyperlink" Target="https://leetcode.com/problems/find-minimum-in-rotated-sorted-array/" TargetMode="External"/><Relationship Id="rId41" Type="http://schemas.openxmlformats.org/officeDocument/2006/relationships/hyperlink" Target="https://leetcode.com/problems/closest-binary-search-tree-value/" TargetMode="External"/><Relationship Id="rId44" Type="http://schemas.openxmlformats.org/officeDocument/2006/relationships/hyperlink" Target="https://leetcode.com/problems/fixed-point/" TargetMode="External"/><Relationship Id="rId194" Type="http://schemas.openxmlformats.org/officeDocument/2006/relationships/hyperlink" Target="https://leetcode.com/problems/sum-of-two-integers/" TargetMode="External"/><Relationship Id="rId43" Type="http://schemas.openxmlformats.org/officeDocument/2006/relationships/hyperlink" Target="https://leetcode.com/problems/find-first-and-last-position-of-element-in-sorted-array/" TargetMode="External"/><Relationship Id="rId193" Type="http://schemas.openxmlformats.org/officeDocument/2006/relationships/hyperlink" Target="https://leetcode.com/problems/reverse-bits/" TargetMode="External"/><Relationship Id="rId46" Type="http://schemas.openxmlformats.org/officeDocument/2006/relationships/hyperlink" Target="https://leetcode.com/problems/median-of-two-sorted-arrays/" TargetMode="External"/><Relationship Id="rId192" Type="http://schemas.openxmlformats.org/officeDocument/2006/relationships/hyperlink" Target="https://leetcode.com/problems/number-of-1-bits/" TargetMode="External"/><Relationship Id="rId45" Type="http://schemas.openxmlformats.org/officeDocument/2006/relationships/hyperlink" Target="https://leetcode.com/problems/search-in-rotated-sorted-array/" TargetMode="External"/><Relationship Id="rId191" Type="http://schemas.openxmlformats.org/officeDocument/2006/relationships/hyperlink" Target="https://leetcode.com/problems/counting-bits/" TargetMode="External"/><Relationship Id="rId48" Type="http://schemas.openxmlformats.org/officeDocument/2006/relationships/hyperlink" Target="https://leetcode.com/problems/permutations/" TargetMode="External"/><Relationship Id="rId187" Type="http://schemas.openxmlformats.org/officeDocument/2006/relationships/hyperlink" Target="https://leetcode.com/problems/insert-into-a-binary-search-tree/" TargetMode="External"/><Relationship Id="rId47" Type="http://schemas.openxmlformats.org/officeDocument/2006/relationships/hyperlink" Target="https://leetcode.com/problems/split-array-largest-sum/" TargetMode="External"/><Relationship Id="rId186" Type="http://schemas.openxmlformats.org/officeDocument/2006/relationships/hyperlink" Target="https://leetcode.com/problems/design-linked-list/" TargetMode="External"/><Relationship Id="rId185" Type="http://schemas.openxmlformats.org/officeDocument/2006/relationships/hyperlink" Target="https://leetcode.com/problems/number-of-connected-components-in-an-undirected-graph/" TargetMode="External"/><Relationship Id="rId49" Type="http://schemas.openxmlformats.org/officeDocument/2006/relationships/hyperlink" Target="https://leetcode.com/problems/subsets/" TargetMode="External"/><Relationship Id="rId184" Type="http://schemas.openxmlformats.org/officeDocument/2006/relationships/hyperlink" Target="https://leetcode.com/problems/graph-valid-tree/" TargetMode="External"/><Relationship Id="rId189" Type="http://schemas.openxmlformats.org/officeDocument/2006/relationships/hyperlink" Target="https://leetcode.com/problems/min-stack/" TargetMode="External"/><Relationship Id="rId188" Type="http://schemas.openxmlformats.org/officeDocument/2006/relationships/hyperlink" Target="https://leetcode.com/problems/kth-largest-element-in-a-stream/" TargetMode="External"/><Relationship Id="rId31" Type="http://schemas.openxmlformats.org/officeDocument/2006/relationships/hyperlink" Target="https://leetcode.com/problems/reverse-linked-list/" TargetMode="External"/><Relationship Id="rId30" Type="http://schemas.openxmlformats.org/officeDocument/2006/relationships/hyperlink" Target="https://leetcode.com/problems/merge-two-sorted-lists/" TargetMode="External"/><Relationship Id="rId33" Type="http://schemas.openxmlformats.org/officeDocument/2006/relationships/hyperlink" Target="https://leetcode.com/problems/partition-list/" TargetMode="External"/><Relationship Id="rId183" Type="http://schemas.openxmlformats.org/officeDocument/2006/relationships/hyperlink" Target="https://leetcode.com/problems/find-the-index-of-the-first-occurrence-in-a-string/" TargetMode="External"/><Relationship Id="rId32" Type="http://schemas.openxmlformats.org/officeDocument/2006/relationships/hyperlink" Target="https://leetcode.com/problems/rotate-list/" TargetMode="External"/><Relationship Id="rId182" Type="http://schemas.openxmlformats.org/officeDocument/2006/relationships/hyperlink" Target="https://leetcode.com/problems/word-pattern-ii/" TargetMode="External"/><Relationship Id="rId35" Type="http://schemas.openxmlformats.org/officeDocument/2006/relationships/hyperlink" Target="https://leetcode.com/problems/swap-nodes-in-pairs/" TargetMode="External"/><Relationship Id="rId181" Type="http://schemas.openxmlformats.org/officeDocument/2006/relationships/hyperlink" Target="https://leetcode.com/problems/shortest-unsorted-continuous-subarray/" TargetMode="External"/><Relationship Id="rId34" Type="http://schemas.openxmlformats.org/officeDocument/2006/relationships/hyperlink" Target="https://leetcode.com/problems/reorder-list/" TargetMode="External"/><Relationship Id="rId180" Type="http://schemas.openxmlformats.org/officeDocument/2006/relationships/hyperlink" Target="https://leetcode.com/problems/product-of-array-except-self/" TargetMode="External"/><Relationship Id="rId37" Type="http://schemas.openxmlformats.org/officeDocument/2006/relationships/hyperlink" Target="https://leetcode.com/problems/merge-k-sorted-lists/" TargetMode="External"/><Relationship Id="rId176" Type="http://schemas.openxmlformats.org/officeDocument/2006/relationships/hyperlink" Target="https://leetcode.com/problems/longest-mountain-in-array/" TargetMode="External"/><Relationship Id="rId36" Type="http://schemas.openxmlformats.org/officeDocument/2006/relationships/hyperlink" Target="https://leetcode.com/problems/find-median-from-data-stream/" TargetMode="External"/><Relationship Id="rId175" Type="http://schemas.openxmlformats.org/officeDocument/2006/relationships/hyperlink" Target="https://leetcode.com/problems/encode-and-decode-strings/" TargetMode="External"/><Relationship Id="rId39" Type="http://schemas.openxmlformats.org/officeDocument/2006/relationships/hyperlink" Target="https://leetcode.com/problems/top-k-frequent-elements/" TargetMode="External"/><Relationship Id="rId174" Type="http://schemas.openxmlformats.org/officeDocument/2006/relationships/hyperlink" Target="https://leetcode.com/problems/best-time-to-buy-and-sell-stock/" TargetMode="External"/><Relationship Id="rId38" Type="http://schemas.openxmlformats.org/officeDocument/2006/relationships/hyperlink" Target="https://leetcode.com/problems/kth-largest-element-in-an-array/" TargetMode="External"/><Relationship Id="rId173" Type="http://schemas.openxmlformats.org/officeDocument/2006/relationships/hyperlink" Target="https://leetcode.com/problems/longest-consecutive-sequence/" TargetMode="External"/><Relationship Id="rId179" Type="http://schemas.openxmlformats.org/officeDocument/2006/relationships/hyperlink" Target="https://leetcode.com/problems/monotonic-array/" TargetMode="External"/><Relationship Id="rId178" Type="http://schemas.openxmlformats.org/officeDocument/2006/relationships/hyperlink" Target="https://leetcode.com/problems/maximize-distance-to-closest-person/" TargetMode="External"/><Relationship Id="rId177" Type="http://schemas.openxmlformats.org/officeDocument/2006/relationships/hyperlink" Target="https://leetcode.com/problems/majority-element/" TargetMode="External"/><Relationship Id="rId20" Type="http://schemas.openxmlformats.org/officeDocument/2006/relationships/hyperlink" Target="https://leetcode.com/problems/maximum-size-subarray-sum-equals-k/" TargetMode="External"/><Relationship Id="rId22" Type="http://schemas.openxmlformats.org/officeDocument/2006/relationships/hyperlink" Target="https://leetcode.com/problems/meeting-rooms/" TargetMode="External"/><Relationship Id="rId21" Type="http://schemas.openxmlformats.org/officeDocument/2006/relationships/hyperlink" Target="https://leetcode.com/problems/minimum-window-substring/" TargetMode="External"/><Relationship Id="rId24" Type="http://schemas.openxmlformats.org/officeDocument/2006/relationships/hyperlink" Target="https://leetcode.com/problems/merge-intervals/" TargetMode="External"/><Relationship Id="rId23" Type="http://schemas.openxmlformats.org/officeDocument/2006/relationships/hyperlink" Target="https://leetcode.com/problems/insert-interval/" TargetMode="External"/><Relationship Id="rId26" Type="http://schemas.openxmlformats.org/officeDocument/2006/relationships/hyperlink" Target="https://leetcode.com/problems/meeting-rooms-ii/" TargetMode="External"/><Relationship Id="rId25" Type="http://schemas.openxmlformats.org/officeDocument/2006/relationships/hyperlink" Target="https://leetcode.com/problems/non-overlapping-intervals/" TargetMode="External"/><Relationship Id="rId28" Type="http://schemas.openxmlformats.org/officeDocument/2006/relationships/hyperlink" Target="https://leetcode.com/problems/remove-duplicates-from-sorted-list/" TargetMode="External"/><Relationship Id="rId27" Type="http://schemas.openxmlformats.org/officeDocument/2006/relationships/hyperlink" Target="https://leetcode.com/problems/meeting-scheduler/" TargetMode="External"/><Relationship Id="rId29" Type="http://schemas.openxmlformats.org/officeDocument/2006/relationships/hyperlink" Target="https://leetcode.com/problems/add-two-numbers/" TargetMode="External"/><Relationship Id="rId11" Type="http://schemas.openxmlformats.org/officeDocument/2006/relationships/hyperlink" Target="https://leetcode.com/problems/remove-nth-node-from-end-of-list/" TargetMode="External"/><Relationship Id="rId10" Type="http://schemas.openxmlformats.org/officeDocument/2006/relationships/hyperlink" Target="https://leetcode.com/problems/one-edit-distance/" TargetMode="External"/><Relationship Id="rId13" Type="http://schemas.openxmlformats.org/officeDocument/2006/relationships/hyperlink" Target="https://leetcode.com/problems/sort-colors/" TargetMode="External"/><Relationship Id="rId12" Type="http://schemas.openxmlformats.org/officeDocument/2006/relationships/hyperlink" Target="https://leetcode.com/problems/reverse-words-in-a-string/" TargetMode="External"/><Relationship Id="rId15" Type="http://schemas.openxmlformats.org/officeDocument/2006/relationships/hyperlink" Target="https://leetcode.com/problems/middle-of-the-linked-list/" TargetMode="External"/><Relationship Id="rId198" Type="http://schemas.openxmlformats.org/officeDocument/2006/relationships/hyperlink" Target="https://leetcode.com/problems/minimum-area-rectangle/" TargetMode="External"/><Relationship Id="rId14" Type="http://schemas.openxmlformats.org/officeDocument/2006/relationships/hyperlink" Target="https://leetcode.com/problems/linked-list-cycle/" TargetMode="External"/><Relationship Id="rId197" Type="http://schemas.openxmlformats.org/officeDocument/2006/relationships/hyperlink" Target="https://leetcode.com/problems/max-points-on-a-line/" TargetMode="External"/><Relationship Id="rId17" Type="http://schemas.openxmlformats.org/officeDocument/2006/relationships/hyperlink" Target="https://leetcode.com/problems/palindrome-linked-list/" TargetMode="External"/><Relationship Id="rId196" Type="http://schemas.openxmlformats.org/officeDocument/2006/relationships/hyperlink" Target="https://leetcode.com/problems/detect-squares/" TargetMode="External"/><Relationship Id="rId16" Type="http://schemas.openxmlformats.org/officeDocument/2006/relationships/hyperlink" Target="https://leetcode.com/problems/linked-list-cycle-ii/" TargetMode="External"/><Relationship Id="rId195" Type="http://schemas.openxmlformats.org/officeDocument/2006/relationships/hyperlink" Target="https://leetcode.com/problems/shifting-letters/" TargetMode="External"/><Relationship Id="rId19" Type="http://schemas.openxmlformats.org/officeDocument/2006/relationships/hyperlink" Target="https://leetcode.com/problems/longest-substring-without-repeating-characters/" TargetMode="External"/><Relationship Id="rId18" Type="http://schemas.openxmlformats.org/officeDocument/2006/relationships/hyperlink" Target="https://leetcode.com/problems/longest-repeating-character-replacement/" TargetMode="External"/><Relationship Id="rId199" Type="http://schemas.openxmlformats.org/officeDocument/2006/relationships/drawing" Target="../drawings/drawing1.xml"/><Relationship Id="rId84" Type="http://schemas.openxmlformats.org/officeDocument/2006/relationships/hyperlink" Target="https://leetcode.com/problems/trapping-rain-water/" TargetMode="External"/><Relationship Id="rId83" Type="http://schemas.openxmlformats.org/officeDocument/2006/relationships/hyperlink" Target="https://leetcode.com/problems/russian-doll-envelopes/" TargetMode="External"/><Relationship Id="rId86" Type="http://schemas.openxmlformats.org/officeDocument/2006/relationships/hyperlink" Target="https://leetcode.com/problems/best-time-to-buy-and-sell-stock-iv/" TargetMode="External"/><Relationship Id="rId85" Type="http://schemas.openxmlformats.org/officeDocument/2006/relationships/hyperlink" Target="https://leetcode.com/problems/word-break/" TargetMode="External"/><Relationship Id="rId88" Type="http://schemas.openxmlformats.org/officeDocument/2006/relationships/hyperlink" Target="https://leetcode.com/problems/longest-increasing-subsequence/" TargetMode="External"/><Relationship Id="rId150" Type="http://schemas.openxmlformats.org/officeDocument/2006/relationships/hyperlink" Target="https://leetcode.com/problems/validate-binary-search-tree/" TargetMode="External"/><Relationship Id="rId87" Type="http://schemas.openxmlformats.org/officeDocument/2006/relationships/hyperlink" Target="https://leetcode.com/problems/largest-1-bordered-square/" TargetMode="External"/><Relationship Id="rId89" Type="http://schemas.openxmlformats.org/officeDocument/2006/relationships/hyperlink" Target="https://leetcode.com/problems/longest-string-chain/" TargetMode="External"/><Relationship Id="rId80" Type="http://schemas.openxmlformats.org/officeDocument/2006/relationships/hyperlink" Target="https://leetcode.com/problems/max-sum-of-rectangle-no-larger-than-k/" TargetMode="External"/><Relationship Id="rId82" Type="http://schemas.openxmlformats.org/officeDocument/2006/relationships/hyperlink" Target="https://leetcode.com/problems/partition-equal-subset-sum/" TargetMode="External"/><Relationship Id="rId81" Type="http://schemas.openxmlformats.org/officeDocument/2006/relationships/hyperlink" Target="https://leetcode.com/problems/number-of-dice-rolls-with-target-sum/" TargetMode="External"/><Relationship Id="rId1" Type="http://schemas.openxmlformats.org/officeDocument/2006/relationships/hyperlink" Target="https://leetcode.com/problems/is-subsequence/" TargetMode="External"/><Relationship Id="rId2" Type="http://schemas.openxmlformats.org/officeDocument/2006/relationships/hyperlink" Target="https://leetcode.com/problems/squares-of-a-sorted-array/" TargetMode="External"/><Relationship Id="rId3" Type="http://schemas.openxmlformats.org/officeDocument/2006/relationships/hyperlink" Target="https://leetcode.com/problems/string-compression/" TargetMode="External"/><Relationship Id="rId149" Type="http://schemas.openxmlformats.org/officeDocument/2006/relationships/hyperlink" Target="https://leetcode.com/problems/symmetric-tree/" TargetMode="External"/><Relationship Id="rId4" Type="http://schemas.openxmlformats.org/officeDocument/2006/relationships/hyperlink" Target="https://leetcode.com/problems/two-sum/" TargetMode="External"/><Relationship Id="rId148" Type="http://schemas.openxmlformats.org/officeDocument/2006/relationships/hyperlink" Target="https://leetcode.com/problems/merge-two-binary-trees/" TargetMode="External"/><Relationship Id="rId9" Type="http://schemas.openxmlformats.org/officeDocument/2006/relationships/hyperlink" Target="https://leetcode.com/problems/move-zeroes/" TargetMode="External"/><Relationship Id="rId143" Type="http://schemas.openxmlformats.org/officeDocument/2006/relationships/hyperlink" Target="https://leetcode.com/problems/diameter-of-binary-tree/" TargetMode="External"/><Relationship Id="rId142" Type="http://schemas.openxmlformats.org/officeDocument/2006/relationships/hyperlink" Target="https://leetcode.com/problems/convert-sorted-array-to-binary-search-tree/" TargetMode="External"/><Relationship Id="rId141" Type="http://schemas.openxmlformats.org/officeDocument/2006/relationships/hyperlink" Target="https://leetcode.com/problems/construct-binary-tree-from-preorder-and-inorder-traversal/" TargetMode="External"/><Relationship Id="rId140" Type="http://schemas.openxmlformats.org/officeDocument/2006/relationships/hyperlink" Target="https://leetcode.com/problems/construct-binary-search-tree-from-preorder-traversal/" TargetMode="External"/><Relationship Id="rId5" Type="http://schemas.openxmlformats.org/officeDocument/2006/relationships/hyperlink" Target="https://leetcode.com/problems/valid-palindrome/" TargetMode="External"/><Relationship Id="rId147" Type="http://schemas.openxmlformats.org/officeDocument/2006/relationships/hyperlink" Target="https://leetcode.com/problems/maximum-product-of-splitted-binary-tree/" TargetMode="External"/><Relationship Id="rId6" Type="http://schemas.openxmlformats.org/officeDocument/2006/relationships/hyperlink" Target="https://leetcode.com/problems/3sum/" TargetMode="External"/><Relationship Id="rId146" Type="http://schemas.openxmlformats.org/officeDocument/2006/relationships/hyperlink" Target="https://leetcode.com/problems/lowest-common-ancestor-of-a-binary-tree/" TargetMode="External"/><Relationship Id="rId7" Type="http://schemas.openxmlformats.org/officeDocument/2006/relationships/hyperlink" Target="https://leetcode.com/problems/container-with-most-water/" TargetMode="External"/><Relationship Id="rId145" Type="http://schemas.openxmlformats.org/officeDocument/2006/relationships/hyperlink" Target="https://leetcode.com/problems/kth-smallest-element-in-a-bst/" TargetMode="External"/><Relationship Id="rId8" Type="http://schemas.openxmlformats.org/officeDocument/2006/relationships/hyperlink" Target="https://leetcode.com/problems/intersection-of-two-linked-lists/" TargetMode="External"/><Relationship Id="rId144" Type="http://schemas.openxmlformats.org/officeDocument/2006/relationships/hyperlink" Target="https://leetcode.com/problems/inorder-successor-in-bst/" TargetMode="External"/><Relationship Id="rId73" Type="http://schemas.openxmlformats.org/officeDocument/2006/relationships/hyperlink" Target="https://leetcode.com/problems/maximum-subarray/" TargetMode="External"/><Relationship Id="rId72" Type="http://schemas.openxmlformats.org/officeDocument/2006/relationships/hyperlink" Target="https://leetcode.com/problems/maximum-product-subarray/" TargetMode="External"/><Relationship Id="rId75" Type="http://schemas.openxmlformats.org/officeDocument/2006/relationships/hyperlink" Target="https://leetcode.com/problems/palindromic-substrings/" TargetMode="External"/><Relationship Id="rId74" Type="http://schemas.openxmlformats.org/officeDocument/2006/relationships/hyperlink" Target="https://leetcode.com/problems/new-21-game/" TargetMode="External"/><Relationship Id="rId77" Type="http://schemas.openxmlformats.org/officeDocument/2006/relationships/hyperlink" Target="https://leetcode.com/problems/interleaving-string/" TargetMode="External"/><Relationship Id="rId76" Type="http://schemas.openxmlformats.org/officeDocument/2006/relationships/hyperlink" Target="https://leetcode.com/problems/unique-paths/" TargetMode="External"/><Relationship Id="rId79" Type="http://schemas.openxmlformats.org/officeDocument/2006/relationships/hyperlink" Target="https://leetcode.com/problems/longest-common-subsequence/" TargetMode="External"/><Relationship Id="rId78" Type="http://schemas.openxmlformats.org/officeDocument/2006/relationships/hyperlink" Target="https://leetcode.com/problems/jump-game-ii/" TargetMode="External"/><Relationship Id="rId71" Type="http://schemas.openxmlformats.org/officeDocument/2006/relationships/hyperlink" Target="https://leetcode.com/problems/longest-palindromic-substring/" TargetMode="External"/><Relationship Id="rId70" Type="http://schemas.openxmlformats.org/officeDocument/2006/relationships/hyperlink" Target="https://leetcode.com/problems/house-robber-ii/" TargetMode="External"/><Relationship Id="rId139" Type="http://schemas.openxmlformats.org/officeDocument/2006/relationships/hyperlink" Target="https://leetcode.com/problems/balanced-binary-tree/" TargetMode="External"/><Relationship Id="rId138" Type="http://schemas.openxmlformats.org/officeDocument/2006/relationships/hyperlink" Target="https://leetcode.com/problems/subtree-of-another-tree/" TargetMode="External"/><Relationship Id="rId137" Type="http://schemas.openxmlformats.org/officeDocument/2006/relationships/hyperlink" Target="https://leetcode.com/problems/same-tree/" TargetMode="External"/><Relationship Id="rId132" Type="http://schemas.openxmlformats.org/officeDocument/2006/relationships/hyperlink" Target="https://leetcode.com/problems/binary-tree-paths/" TargetMode="External"/><Relationship Id="rId131" Type="http://schemas.openxmlformats.org/officeDocument/2006/relationships/hyperlink" Target="https://leetcode.com/problems/shortest-path-in-binary-matrix/" TargetMode="External"/><Relationship Id="rId130" Type="http://schemas.openxmlformats.org/officeDocument/2006/relationships/hyperlink" Target="https://leetcode.com/problems/critical-connections-in-a-network/" TargetMode="External"/><Relationship Id="rId136" Type="http://schemas.openxmlformats.org/officeDocument/2006/relationships/hyperlink" Target="https://leetcode.com/problems/nested-list-weight-sum/" TargetMode="External"/><Relationship Id="rId135" Type="http://schemas.openxmlformats.org/officeDocument/2006/relationships/hyperlink" Target="https://leetcode.com/problems/maximum-depth-of-binary-tree/" TargetMode="External"/><Relationship Id="rId134" Type="http://schemas.openxmlformats.org/officeDocument/2006/relationships/hyperlink" Target="https://leetcode.com/problems/lowest-common-ancestor-of-a-binary-search-tree/" TargetMode="External"/><Relationship Id="rId133" Type="http://schemas.openxmlformats.org/officeDocument/2006/relationships/hyperlink" Target="https://leetcode.com/problems/evaluate-boolean-binary-tree/" TargetMode="External"/><Relationship Id="rId62" Type="http://schemas.openxmlformats.org/officeDocument/2006/relationships/hyperlink" Target="https://leetcode.com/problems/fibonacci-number/" TargetMode="External"/><Relationship Id="rId61" Type="http://schemas.openxmlformats.org/officeDocument/2006/relationships/hyperlink" Target="https://leetcode.com/problems/n-queens/" TargetMode="External"/><Relationship Id="rId64" Type="http://schemas.openxmlformats.org/officeDocument/2006/relationships/hyperlink" Target="https://leetcode.com/problems/coin-change/" TargetMode="External"/><Relationship Id="rId63" Type="http://schemas.openxmlformats.org/officeDocument/2006/relationships/hyperlink" Target="https://leetcode.com/problems/climbing-stairs/" TargetMode="External"/><Relationship Id="rId66" Type="http://schemas.openxmlformats.org/officeDocument/2006/relationships/hyperlink" Target="https://leetcode.com/problems/combination-sum-iv/" TargetMode="External"/><Relationship Id="rId172" Type="http://schemas.openxmlformats.org/officeDocument/2006/relationships/hyperlink" Target="https://leetcode.com/problems/4sum/" TargetMode="External"/><Relationship Id="rId65" Type="http://schemas.openxmlformats.org/officeDocument/2006/relationships/hyperlink" Target="https://leetcode.com/problems/coin-change-ii/" TargetMode="External"/><Relationship Id="rId171" Type="http://schemas.openxmlformats.org/officeDocument/2006/relationships/hyperlink" Target="https://leetcode.com/problems/word-subsets/" TargetMode="External"/><Relationship Id="rId68" Type="http://schemas.openxmlformats.org/officeDocument/2006/relationships/hyperlink" Target="https://leetcode.com/problems/edit-distance/" TargetMode="External"/><Relationship Id="rId170" Type="http://schemas.openxmlformats.org/officeDocument/2006/relationships/hyperlink" Target="https://leetcode.com/problems/subarray-sum-equals-k/" TargetMode="External"/><Relationship Id="rId67" Type="http://schemas.openxmlformats.org/officeDocument/2006/relationships/hyperlink" Target="https://leetcode.com/problems/decode-ways/" TargetMode="External"/><Relationship Id="rId60" Type="http://schemas.openxmlformats.org/officeDocument/2006/relationships/hyperlink" Target="https://leetcode.com/problems/word-search-ii/" TargetMode="External"/><Relationship Id="rId165" Type="http://schemas.openxmlformats.org/officeDocument/2006/relationships/hyperlink" Target="https://leetcode.com/problems/find-common-characters/" TargetMode="External"/><Relationship Id="rId69" Type="http://schemas.openxmlformats.org/officeDocument/2006/relationships/hyperlink" Target="https://leetcode.com/problems/house-robber/" TargetMode="External"/><Relationship Id="rId164" Type="http://schemas.openxmlformats.org/officeDocument/2006/relationships/hyperlink" Target="https://leetcode.com/problems/contains-duplicate/" TargetMode="External"/><Relationship Id="rId163" Type="http://schemas.openxmlformats.org/officeDocument/2006/relationships/hyperlink" Target="https://leetcode.com/problems/stream-of-characters/" TargetMode="External"/><Relationship Id="rId162" Type="http://schemas.openxmlformats.org/officeDocument/2006/relationships/hyperlink" Target="https://leetcode.com/problems/concatenated-words/" TargetMode="External"/><Relationship Id="rId169" Type="http://schemas.openxmlformats.org/officeDocument/2006/relationships/hyperlink" Target="https://leetcode.com/problems/group-anagrams/" TargetMode="External"/><Relationship Id="rId168" Type="http://schemas.openxmlformats.org/officeDocument/2006/relationships/hyperlink" Target="https://leetcode.com/problems/valid-anagram/" TargetMode="External"/><Relationship Id="rId167" Type="http://schemas.openxmlformats.org/officeDocument/2006/relationships/hyperlink" Target="https://leetcode.com/problems/ransom-note/" TargetMode="External"/><Relationship Id="rId166" Type="http://schemas.openxmlformats.org/officeDocument/2006/relationships/hyperlink" Target="https://leetcode.com/problems/first-unique-character-in-a-string/" TargetMode="External"/><Relationship Id="rId51" Type="http://schemas.openxmlformats.org/officeDocument/2006/relationships/hyperlink" Target="https://leetcode.com/problems/gas-station/" TargetMode="External"/><Relationship Id="rId50" Type="http://schemas.openxmlformats.org/officeDocument/2006/relationships/hyperlink" Target="https://leetcode.com/problems/boats-to-save-people/" TargetMode="External"/><Relationship Id="rId53" Type="http://schemas.openxmlformats.org/officeDocument/2006/relationships/hyperlink" Target="https://leetcode.com/problems/candy/" TargetMode="External"/><Relationship Id="rId52" Type="http://schemas.openxmlformats.org/officeDocument/2006/relationships/hyperlink" Target="https://leetcode.com/problems/jump-game/" TargetMode="External"/><Relationship Id="rId55" Type="http://schemas.openxmlformats.org/officeDocument/2006/relationships/hyperlink" Target="https://leetcode.com/problems/letter-combinations-of-a-phone-number/" TargetMode="External"/><Relationship Id="rId161" Type="http://schemas.openxmlformats.org/officeDocument/2006/relationships/hyperlink" Target="https://leetcode.com/problems/implement-trie-prefix-tree/" TargetMode="External"/><Relationship Id="rId54" Type="http://schemas.openxmlformats.org/officeDocument/2006/relationships/hyperlink" Target="https://leetcode.com/problems/combination-sum/" TargetMode="External"/><Relationship Id="rId160" Type="http://schemas.openxmlformats.org/officeDocument/2006/relationships/hyperlink" Target="https://leetcode.com/problems/add-and-search-word-data-structure-design/" TargetMode="External"/><Relationship Id="rId57" Type="http://schemas.openxmlformats.org/officeDocument/2006/relationships/hyperlink" Target="https://leetcode.com/problems/word-search/" TargetMode="External"/><Relationship Id="rId56" Type="http://schemas.openxmlformats.org/officeDocument/2006/relationships/hyperlink" Target="https://leetcode.com/problems/restore-ip-addresses/" TargetMode="External"/><Relationship Id="rId159" Type="http://schemas.openxmlformats.org/officeDocument/2006/relationships/hyperlink" Target="https://leetcode.com/problems/all-nodes-distance-k-in-binary-tree/" TargetMode="External"/><Relationship Id="rId59" Type="http://schemas.openxmlformats.org/officeDocument/2006/relationships/hyperlink" Target="https://leetcode.com/problems/sudoku-solver/" TargetMode="External"/><Relationship Id="rId154" Type="http://schemas.openxmlformats.org/officeDocument/2006/relationships/hyperlink" Target="https://leetcode.com/problems/serialize-and-deserialize-binary-tree/" TargetMode="External"/><Relationship Id="rId58" Type="http://schemas.openxmlformats.org/officeDocument/2006/relationships/hyperlink" Target="https://leetcode.com/problems/generate-parentheses/" TargetMode="External"/><Relationship Id="rId153" Type="http://schemas.openxmlformats.org/officeDocument/2006/relationships/hyperlink" Target="https://leetcode.com/problems/recover-binary-search-tree/" TargetMode="External"/><Relationship Id="rId152" Type="http://schemas.openxmlformats.org/officeDocument/2006/relationships/hyperlink" Target="https://leetcode.com/problems/largest-bst-subtree/" TargetMode="External"/><Relationship Id="rId151" Type="http://schemas.openxmlformats.org/officeDocument/2006/relationships/hyperlink" Target="https://leetcode.com/problems/binary-tree-maximum-path-sum/" TargetMode="External"/><Relationship Id="rId158" Type="http://schemas.openxmlformats.org/officeDocument/2006/relationships/hyperlink" Target="https://leetcode.com/problems/invert-binary-tree/" TargetMode="External"/><Relationship Id="rId157" Type="http://schemas.openxmlformats.org/officeDocument/2006/relationships/hyperlink" Target="https://leetcode.com/problems/binary-tree-level-order-traversal/" TargetMode="External"/><Relationship Id="rId156" Type="http://schemas.openxmlformats.org/officeDocument/2006/relationships/hyperlink" Target="https://leetcode.com/problems/populating-next-right-pointers-in-each-node/" TargetMode="External"/><Relationship Id="rId155" Type="http://schemas.openxmlformats.org/officeDocument/2006/relationships/hyperlink" Target="https://leetcode.com/problems/binary-search-tree-to-sorted-doubly-linked-list/" TargetMode="External"/><Relationship Id="rId107" Type="http://schemas.openxmlformats.org/officeDocument/2006/relationships/hyperlink" Target="https://leetcode.com/problems/evaluate-reverse-polish-notation/" TargetMode="External"/><Relationship Id="rId106" Type="http://schemas.openxmlformats.org/officeDocument/2006/relationships/hyperlink" Target="https://leetcode.com/problems/buildings-with-an-ocean-view/" TargetMode="External"/><Relationship Id="rId105" Type="http://schemas.openxmlformats.org/officeDocument/2006/relationships/hyperlink" Target="https://leetcode.com/problems/asteroid-collision/" TargetMode="External"/><Relationship Id="rId104" Type="http://schemas.openxmlformats.org/officeDocument/2006/relationships/hyperlink" Target="https://leetcode.com/problems/binary-tree-inorder-traversal/" TargetMode="External"/><Relationship Id="rId109" Type="http://schemas.openxmlformats.org/officeDocument/2006/relationships/hyperlink" Target="https://leetcode.com/problems/remove-k-digits/" TargetMode="External"/><Relationship Id="rId108" Type="http://schemas.openxmlformats.org/officeDocument/2006/relationships/hyperlink" Target="https://leetcode.com/problems/next-greater-element-ii/" TargetMode="External"/><Relationship Id="rId103" Type="http://schemas.openxmlformats.org/officeDocument/2006/relationships/hyperlink" Target="https://leetcode.com/problems/diagonal-traverse/" TargetMode="External"/><Relationship Id="rId102" Type="http://schemas.openxmlformats.org/officeDocument/2006/relationships/hyperlink" Target="https://leetcode.com/problems/spiral-matrix/" TargetMode="External"/><Relationship Id="rId101" Type="http://schemas.openxmlformats.org/officeDocument/2006/relationships/hyperlink" Target="https://leetcode.com/problems/set-matrix-zeroes/" TargetMode="External"/><Relationship Id="rId100" Type="http://schemas.openxmlformats.org/officeDocument/2006/relationships/hyperlink" Target="https://leetcode.com/problems/search-a-2d-matrix-ii/" TargetMode="External"/><Relationship Id="rId129" Type="http://schemas.openxmlformats.org/officeDocument/2006/relationships/hyperlink" Target="https://leetcode.com/problems/network-delay-time/" TargetMode="External"/><Relationship Id="rId128" Type="http://schemas.openxmlformats.org/officeDocument/2006/relationships/hyperlink" Target="https://leetcode.com/problems/minimum-knight-moves/" TargetMode="External"/><Relationship Id="rId127" Type="http://schemas.openxmlformats.org/officeDocument/2006/relationships/hyperlink" Target="https://leetcode.com/problems/making-a-large-island/" TargetMode="External"/><Relationship Id="rId126" Type="http://schemas.openxmlformats.org/officeDocument/2006/relationships/hyperlink" Target="https://leetcode.com/problems/rotting-oranges/" TargetMode="External"/><Relationship Id="rId121" Type="http://schemas.openxmlformats.org/officeDocument/2006/relationships/hyperlink" Target="https://leetcode.com/problems/min-cost-to-connect-all-points/" TargetMode="External"/><Relationship Id="rId120" Type="http://schemas.openxmlformats.org/officeDocument/2006/relationships/hyperlink" Target="https://leetcode.com/problems/is-graph-bipartite/" TargetMode="External"/><Relationship Id="rId125" Type="http://schemas.openxmlformats.org/officeDocument/2006/relationships/hyperlink" Target="https://leetcode.com/problems/pacific-atlantic-water-flow/" TargetMode="External"/><Relationship Id="rId124" Type="http://schemas.openxmlformats.org/officeDocument/2006/relationships/hyperlink" Target="https://leetcode.com/problems/number-of-islands/" TargetMode="External"/><Relationship Id="rId123" Type="http://schemas.openxmlformats.org/officeDocument/2006/relationships/hyperlink" Target="https://leetcode.com/problems/number-of-enclaves/" TargetMode="External"/><Relationship Id="rId122" Type="http://schemas.openxmlformats.org/officeDocument/2006/relationships/hyperlink" Target="https://leetcode.com/problems/minesweeper/" TargetMode="External"/><Relationship Id="rId95" Type="http://schemas.openxmlformats.org/officeDocument/2006/relationships/hyperlink" Target="https://leetcode.com/problems/course-schedule-ii/" TargetMode="External"/><Relationship Id="rId94" Type="http://schemas.openxmlformats.org/officeDocument/2006/relationships/hyperlink" Target="https://leetcode.com/problems/alien-dictionary/" TargetMode="External"/><Relationship Id="rId97" Type="http://schemas.openxmlformats.org/officeDocument/2006/relationships/hyperlink" Target="https://leetcode.com/problems/count-of-smaller-numbers-after-self/" TargetMode="External"/><Relationship Id="rId96" Type="http://schemas.openxmlformats.org/officeDocument/2006/relationships/hyperlink" Target="https://leetcode.com/problems/sort-an-array/" TargetMode="External"/><Relationship Id="rId99" Type="http://schemas.openxmlformats.org/officeDocument/2006/relationships/hyperlink" Target="https://leetcode.com/problems/rotate-image/" TargetMode="External"/><Relationship Id="rId98" Type="http://schemas.openxmlformats.org/officeDocument/2006/relationships/hyperlink" Target="https://leetcode.com/problems/transpose-matrix/" TargetMode="External"/><Relationship Id="rId91" Type="http://schemas.openxmlformats.org/officeDocument/2006/relationships/hyperlink" Target="https://leetcode.com/problems/unique-binary-search-trees/" TargetMode="External"/><Relationship Id="rId90" Type="http://schemas.openxmlformats.org/officeDocument/2006/relationships/hyperlink" Target="https://leetcode.com/problems/palindrome-partitioning-ii/" TargetMode="External"/><Relationship Id="rId93" Type="http://schemas.openxmlformats.org/officeDocument/2006/relationships/hyperlink" Target="https://leetcode.com/problems/missing-number/" TargetMode="External"/><Relationship Id="rId92" Type="http://schemas.openxmlformats.org/officeDocument/2006/relationships/hyperlink" Target="https://leetcode.com/problems/find-the-duplicate-number/" TargetMode="External"/><Relationship Id="rId118" Type="http://schemas.openxmlformats.org/officeDocument/2006/relationships/hyperlink" Target="https://leetcode.com/problems/clone-graph/" TargetMode="External"/><Relationship Id="rId117" Type="http://schemas.openxmlformats.org/officeDocument/2006/relationships/hyperlink" Target="https://leetcode.com/problems/circular-array-loop/" TargetMode="External"/><Relationship Id="rId116" Type="http://schemas.openxmlformats.org/officeDocument/2006/relationships/hyperlink" Target="https://leetcode.com/problems/find-if-path-exists-in-graph/" TargetMode="External"/><Relationship Id="rId115" Type="http://schemas.openxmlformats.org/officeDocument/2006/relationships/hyperlink" Target="https://leetcode.com/problems/maximal-rectangle/" TargetMode="External"/><Relationship Id="rId119" Type="http://schemas.openxmlformats.org/officeDocument/2006/relationships/hyperlink" Target="https://leetcode.com/problems/course-schedule/" TargetMode="External"/><Relationship Id="rId110" Type="http://schemas.openxmlformats.org/officeDocument/2006/relationships/hyperlink" Target="https://leetcode.com/problems/valid-parentheses/" TargetMode="External"/><Relationship Id="rId114" Type="http://schemas.openxmlformats.org/officeDocument/2006/relationships/hyperlink" Target="https://leetcode.com/problems/longest-valid-parentheses/" TargetMode="External"/><Relationship Id="rId113" Type="http://schemas.openxmlformats.org/officeDocument/2006/relationships/hyperlink" Target="https://leetcode.com/problems/leaf-similar-trees/" TargetMode="External"/><Relationship Id="rId112" Type="http://schemas.openxmlformats.org/officeDocument/2006/relationships/hyperlink" Target="https://leetcode.com/problems/simplify-path/" TargetMode="External"/><Relationship Id="rId111" Type="http://schemas.openxmlformats.org/officeDocument/2006/relationships/hyperlink" Target="https://leetcode.com/problems/largest-rectangle-in-histogra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binary-search/" TargetMode="External"/><Relationship Id="rId190" Type="http://schemas.openxmlformats.org/officeDocument/2006/relationships/hyperlink" Target="https://leetcode.com/problems/lru-cache/" TargetMode="External"/><Relationship Id="rId42" Type="http://schemas.openxmlformats.org/officeDocument/2006/relationships/hyperlink" Target="https://leetcode.com/problems/find-minimum-in-rotated-sorted-array/" TargetMode="External"/><Relationship Id="rId41" Type="http://schemas.openxmlformats.org/officeDocument/2006/relationships/hyperlink" Target="https://leetcode.com/problems/closest-binary-search-tree-value/" TargetMode="External"/><Relationship Id="rId44" Type="http://schemas.openxmlformats.org/officeDocument/2006/relationships/hyperlink" Target="https://leetcode.com/problems/fixed-point/" TargetMode="External"/><Relationship Id="rId194" Type="http://schemas.openxmlformats.org/officeDocument/2006/relationships/hyperlink" Target="https://leetcode.com/problems/sum-of-two-integers/" TargetMode="External"/><Relationship Id="rId43" Type="http://schemas.openxmlformats.org/officeDocument/2006/relationships/hyperlink" Target="https://leetcode.com/problems/find-first-and-last-position-of-element-in-sorted-array/" TargetMode="External"/><Relationship Id="rId193" Type="http://schemas.openxmlformats.org/officeDocument/2006/relationships/hyperlink" Target="https://leetcode.com/problems/reverse-bits/" TargetMode="External"/><Relationship Id="rId46" Type="http://schemas.openxmlformats.org/officeDocument/2006/relationships/hyperlink" Target="https://leetcode.com/problems/median-of-two-sorted-arrays/" TargetMode="External"/><Relationship Id="rId192" Type="http://schemas.openxmlformats.org/officeDocument/2006/relationships/hyperlink" Target="https://leetcode.com/problems/number-of-1-bits/" TargetMode="External"/><Relationship Id="rId45" Type="http://schemas.openxmlformats.org/officeDocument/2006/relationships/hyperlink" Target="https://leetcode.com/problems/search-in-rotated-sorted-array/" TargetMode="External"/><Relationship Id="rId191" Type="http://schemas.openxmlformats.org/officeDocument/2006/relationships/hyperlink" Target="https://leetcode.com/problems/counting-bits/" TargetMode="External"/><Relationship Id="rId48" Type="http://schemas.openxmlformats.org/officeDocument/2006/relationships/hyperlink" Target="https://leetcode.com/problems/permutations/" TargetMode="External"/><Relationship Id="rId187" Type="http://schemas.openxmlformats.org/officeDocument/2006/relationships/hyperlink" Target="https://leetcode.com/problems/insert-into-a-binary-search-tree/" TargetMode="External"/><Relationship Id="rId47" Type="http://schemas.openxmlformats.org/officeDocument/2006/relationships/hyperlink" Target="https://leetcode.com/problems/split-array-largest-sum/" TargetMode="External"/><Relationship Id="rId186" Type="http://schemas.openxmlformats.org/officeDocument/2006/relationships/hyperlink" Target="https://leetcode.com/problems/design-linked-list/" TargetMode="External"/><Relationship Id="rId185" Type="http://schemas.openxmlformats.org/officeDocument/2006/relationships/hyperlink" Target="https://leetcode.com/problems/number-of-connected-components-in-an-undirected-graph/" TargetMode="External"/><Relationship Id="rId49" Type="http://schemas.openxmlformats.org/officeDocument/2006/relationships/hyperlink" Target="https://leetcode.com/problems/subsets/" TargetMode="External"/><Relationship Id="rId184" Type="http://schemas.openxmlformats.org/officeDocument/2006/relationships/hyperlink" Target="https://leetcode.com/problems/graph-valid-tree/" TargetMode="External"/><Relationship Id="rId189" Type="http://schemas.openxmlformats.org/officeDocument/2006/relationships/hyperlink" Target="https://leetcode.com/problems/min-stack/" TargetMode="External"/><Relationship Id="rId188" Type="http://schemas.openxmlformats.org/officeDocument/2006/relationships/hyperlink" Target="https://leetcode.com/problems/kth-largest-element-in-a-stream/" TargetMode="External"/><Relationship Id="rId31" Type="http://schemas.openxmlformats.org/officeDocument/2006/relationships/hyperlink" Target="https://leetcode.com/problems/reverse-linked-list/" TargetMode="External"/><Relationship Id="rId30" Type="http://schemas.openxmlformats.org/officeDocument/2006/relationships/hyperlink" Target="https://leetcode.com/problems/merge-two-sorted-lists/" TargetMode="External"/><Relationship Id="rId33" Type="http://schemas.openxmlformats.org/officeDocument/2006/relationships/hyperlink" Target="https://leetcode.com/problems/partition-list/" TargetMode="External"/><Relationship Id="rId183" Type="http://schemas.openxmlformats.org/officeDocument/2006/relationships/hyperlink" Target="https://leetcode.com/problems/find-the-index-of-the-first-occurrence-in-a-string/" TargetMode="External"/><Relationship Id="rId32" Type="http://schemas.openxmlformats.org/officeDocument/2006/relationships/hyperlink" Target="https://leetcode.com/problems/rotate-list/" TargetMode="External"/><Relationship Id="rId182" Type="http://schemas.openxmlformats.org/officeDocument/2006/relationships/hyperlink" Target="https://leetcode.com/problems/word-pattern-ii/" TargetMode="External"/><Relationship Id="rId35" Type="http://schemas.openxmlformats.org/officeDocument/2006/relationships/hyperlink" Target="https://leetcode.com/problems/swap-nodes-in-pairs/" TargetMode="External"/><Relationship Id="rId181" Type="http://schemas.openxmlformats.org/officeDocument/2006/relationships/hyperlink" Target="https://leetcode.com/problems/shortest-unsorted-continuous-subarray/" TargetMode="External"/><Relationship Id="rId34" Type="http://schemas.openxmlformats.org/officeDocument/2006/relationships/hyperlink" Target="https://leetcode.com/problems/reorder-list/" TargetMode="External"/><Relationship Id="rId180" Type="http://schemas.openxmlformats.org/officeDocument/2006/relationships/hyperlink" Target="https://leetcode.com/problems/product-of-array-except-self/" TargetMode="External"/><Relationship Id="rId37" Type="http://schemas.openxmlformats.org/officeDocument/2006/relationships/hyperlink" Target="https://leetcode.com/problems/merge-k-sorted-lists/" TargetMode="External"/><Relationship Id="rId176" Type="http://schemas.openxmlformats.org/officeDocument/2006/relationships/hyperlink" Target="https://leetcode.com/problems/longest-mountain-in-array/" TargetMode="External"/><Relationship Id="rId36" Type="http://schemas.openxmlformats.org/officeDocument/2006/relationships/hyperlink" Target="https://leetcode.com/problems/find-median-from-data-stream/" TargetMode="External"/><Relationship Id="rId175" Type="http://schemas.openxmlformats.org/officeDocument/2006/relationships/hyperlink" Target="https://leetcode.com/problems/encode-and-decode-strings/" TargetMode="External"/><Relationship Id="rId39" Type="http://schemas.openxmlformats.org/officeDocument/2006/relationships/hyperlink" Target="https://leetcode.com/problems/top-k-frequent-elements/" TargetMode="External"/><Relationship Id="rId174" Type="http://schemas.openxmlformats.org/officeDocument/2006/relationships/hyperlink" Target="https://leetcode.com/problems/best-time-to-buy-and-sell-stock/" TargetMode="External"/><Relationship Id="rId38" Type="http://schemas.openxmlformats.org/officeDocument/2006/relationships/hyperlink" Target="https://leetcode.com/problems/kth-largest-element-in-an-array/" TargetMode="External"/><Relationship Id="rId173" Type="http://schemas.openxmlformats.org/officeDocument/2006/relationships/hyperlink" Target="https://leetcode.com/problems/longest-consecutive-sequence/" TargetMode="External"/><Relationship Id="rId179" Type="http://schemas.openxmlformats.org/officeDocument/2006/relationships/hyperlink" Target="https://leetcode.com/problems/monotonic-array/" TargetMode="External"/><Relationship Id="rId178" Type="http://schemas.openxmlformats.org/officeDocument/2006/relationships/hyperlink" Target="https://leetcode.com/problems/maximize-distance-to-closest-person/" TargetMode="External"/><Relationship Id="rId177" Type="http://schemas.openxmlformats.org/officeDocument/2006/relationships/hyperlink" Target="https://leetcode.com/problems/majority-element/" TargetMode="External"/><Relationship Id="rId20" Type="http://schemas.openxmlformats.org/officeDocument/2006/relationships/hyperlink" Target="https://leetcode.com/problems/maximum-size-subarray-sum-equals-k/" TargetMode="External"/><Relationship Id="rId22" Type="http://schemas.openxmlformats.org/officeDocument/2006/relationships/hyperlink" Target="https://leetcode.com/problems/meeting-rooms/" TargetMode="External"/><Relationship Id="rId21" Type="http://schemas.openxmlformats.org/officeDocument/2006/relationships/hyperlink" Target="https://leetcode.com/problems/minimum-window-substring/" TargetMode="External"/><Relationship Id="rId24" Type="http://schemas.openxmlformats.org/officeDocument/2006/relationships/hyperlink" Target="https://leetcode.com/problems/merge-intervals/" TargetMode="External"/><Relationship Id="rId23" Type="http://schemas.openxmlformats.org/officeDocument/2006/relationships/hyperlink" Target="https://leetcode.com/problems/insert-interval/" TargetMode="External"/><Relationship Id="rId26" Type="http://schemas.openxmlformats.org/officeDocument/2006/relationships/hyperlink" Target="https://leetcode.com/problems/meeting-rooms-ii/" TargetMode="External"/><Relationship Id="rId25" Type="http://schemas.openxmlformats.org/officeDocument/2006/relationships/hyperlink" Target="https://leetcode.com/problems/non-overlapping-intervals/" TargetMode="External"/><Relationship Id="rId28" Type="http://schemas.openxmlformats.org/officeDocument/2006/relationships/hyperlink" Target="https://leetcode.com/problems/remove-duplicates-from-sorted-list/" TargetMode="External"/><Relationship Id="rId27" Type="http://schemas.openxmlformats.org/officeDocument/2006/relationships/hyperlink" Target="https://leetcode.com/problems/meeting-scheduler/" TargetMode="External"/><Relationship Id="rId29" Type="http://schemas.openxmlformats.org/officeDocument/2006/relationships/hyperlink" Target="https://leetcode.com/problems/add-two-numbers/" TargetMode="External"/><Relationship Id="rId11" Type="http://schemas.openxmlformats.org/officeDocument/2006/relationships/hyperlink" Target="https://leetcode.com/problems/remove-nth-node-from-end-of-list/" TargetMode="External"/><Relationship Id="rId10" Type="http://schemas.openxmlformats.org/officeDocument/2006/relationships/hyperlink" Target="https://leetcode.com/problems/one-edit-distance/" TargetMode="External"/><Relationship Id="rId13" Type="http://schemas.openxmlformats.org/officeDocument/2006/relationships/hyperlink" Target="https://leetcode.com/problems/sort-colors/" TargetMode="External"/><Relationship Id="rId12" Type="http://schemas.openxmlformats.org/officeDocument/2006/relationships/hyperlink" Target="https://leetcode.com/problems/reverse-words-in-a-string/" TargetMode="External"/><Relationship Id="rId15" Type="http://schemas.openxmlformats.org/officeDocument/2006/relationships/hyperlink" Target="https://leetcode.com/problems/middle-of-the-linked-list/" TargetMode="External"/><Relationship Id="rId198" Type="http://schemas.openxmlformats.org/officeDocument/2006/relationships/hyperlink" Target="https://leetcode.com/problems/minimum-area-rectangle/" TargetMode="External"/><Relationship Id="rId14" Type="http://schemas.openxmlformats.org/officeDocument/2006/relationships/hyperlink" Target="https://leetcode.com/problems/linked-list-cycle/" TargetMode="External"/><Relationship Id="rId197" Type="http://schemas.openxmlformats.org/officeDocument/2006/relationships/hyperlink" Target="https://leetcode.com/problems/max-points-on-a-line/" TargetMode="External"/><Relationship Id="rId17" Type="http://schemas.openxmlformats.org/officeDocument/2006/relationships/hyperlink" Target="https://leetcode.com/problems/palindrome-linked-list/" TargetMode="External"/><Relationship Id="rId196" Type="http://schemas.openxmlformats.org/officeDocument/2006/relationships/hyperlink" Target="https://leetcode.com/problems/detect-squares/" TargetMode="External"/><Relationship Id="rId16" Type="http://schemas.openxmlformats.org/officeDocument/2006/relationships/hyperlink" Target="https://leetcode.com/problems/linked-list-cycle-ii/" TargetMode="External"/><Relationship Id="rId195" Type="http://schemas.openxmlformats.org/officeDocument/2006/relationships/hyperlink" Target="https://leetcode.com/problems/shifting-letters/" TargetMode="External"/><Relationship Id="rId19" Type="http://schemas.openxmlformats.org/officeDocument/2006/relationships/hyperlink" Target="https://leetcode.com/problems/longest-substring-without-repeating-characters/" TargetMode="External"/><Relationship Id="rId18" Type="http://schemas.openxmlformats.org/officeDocument/2006/relationships/hyperlink" Target="https://leetcode.com/problems/longest-repeating-character-replacement/" TargetMode="External"/><Relationship Id="rId199" Type="http://schemas.openxmlformats.org/officeDocument/2006/relationships/drawing" Target="../drawings/drawing2.xml"/><Relationship Id="rId84" Type="http://schemas.openxmlformats.org/officeDocument/2006/relationships/hyperlink" Target="https://leetcode.com/problems/trapping-rain-water/" TargetMode="External"/><Relationship Id="rId83" Type="http://schemas.openxmlformats.org/officeDocument/2006/relationships/hyperlink" Target="https://leetcode.com/problems/russian-doll-envelopes/" TargetMode="External"/><Relationship Id="rId86" Type="http://schemas.openxmlformats.org/officeDocument/2006/relationships/hyperlink" Target="https://leetcode.com/problems/best-time-to-buy-and-sell-stock-iv/" TargetMode="External"/><Relationship Id="rId85" Type="http://schemas.openxmlformats.org/officeDocument/2006/relationships/hyperlink" Target="https://leetcode.com/problems/word-break/" TargetMode="External"/><Relationship Id="rId88" Type="http://schemas.openxmlformats.org/officeDocument/2006/relationships/hyperlink" Target="https://leetcode.com/problems/longest-increasing-subsequence/" TargetMode="External"/><Relationship Id="rId150" Type="http://schemas.openxmlformats.org/officeDocument/2006/relationships/hyperlink" Target="https://leetcode.com/problems/validate-binary-search-tree/" TargetMode="External"/><Relationship Id="rId87" Type="http://schemas.openxmlformats.org/officeDocument/2006/relationships/hyperlink" Target="https://leetcode.com/problems/largest-1-bordered-square/" TargetMode="External"/><Relationship Id="rId89" Type="http://schemas.openxmlformats.org/officeDocument/2006/relationships/hyperlink" Target="https://leetcode.com/problems/longest-string-chain/" TargetMode="External"/><Relationship Id="rId80" Type="http://schemas.openxmlformats.org/officeDocument/2006/relationships/hyperlink" Target="https://leetcode.com/problems/max-sum-of-rectangle-no-larger-than-k/" TargetMode="External"/><Relationship Id="rId82" Type="http://schemas.openxmlformats.org/officeDocument/2006/relationships/hyperlink" Target="https://leetcode.com/problems/partition-equal-subset-sum/" TargetMode="External"/><Relationship Id="rId81" Type="http://schemas.openxmlformats.org/officeDocument/2006/relationships/hyperlink" Target="https://leetcode.com/problems/number-of-dice-rolls-with-target-sum/" TargetMode="External"/><Relationship Id="rId1" Type="http://schemas.openxmlformats.org/officeDocument/2006/relationships/hyperlink" Target="https://leetcode.com/problems/is-subsequence/" TargetMode="External"/><Relationship Id="rId2" Type="http://schemas.openxmlformats.org/officeDocument/2006/relationships/hyperlink" Target="https://leetcode.com/problems/squares-of-a-sorted-array/" TargetMode="External"/><Relationship Id="rId3" Type="http://schemas.openxmlformats.org/officeDocument/2006/relationships/hyperlink" Target="https://leetcode.com/problems/string-compression/" TargetMode="External"/><Relationship Id="rId149" Type="http://schemas.openxmlformats.org/officeDocument/2006/relationships/hyperlink" Target="https://leetcode.com/problems/symmetric-tree/" TargetMode="External"/><Relationship Id="rId4" Type="http://schemas.openxmlformats.org/officeDocument/2006/relationships/hyperlink" Target="https://leetcode.com/problems/two-sum/" TargetMode="External"/><Relationship Id="rId148" Type="http://schemas.openxmlformats.org/officeDocument/2006/relationships/hyperlink" Target="https://leetcode.com/problems/merge-two-binary-trees/" TargetMode="External"/><Relationship Id="rId9" Type="http://schemas.openxmlformats.org/officeDocument/2006/relationships/hyperlink" Target="https://leetcode.com/problems/move-zeroes/" TargetMode="External"/><Relationship Id="rId143" Type="http://schemas.openxmlformats.org/officeDocument/2006/relationships/hyperlink" Target="https://leetcode.com/problems/diameter-of-binary-tree/" TargetMode="External"/><Relationship Id="rId142" Type="http://schemas.openxmlformats.org/officeDocument/2006/relationships/hyperlink" Target="https://leetcode.com/problems/convert-sorted-array-to-binary-search-tree/" TargetMode="External"/><Relationship Id="rId141" Type="http://schemas.openxmlformats.org/officeDocument/2006/relationships/hyperlink" Target="https://leetcode.com/problems/construct-binary-tree-from-preorder-and-inorder-traversal/" TargetMode="External"/><Relationship Id="rId140" Type="http://schemas.openxmlformats.org/officeDocument/2006/relationships/hyperlink" Target="https://leetcode.com/problems/construct-binary-search-tree-from-preorder-traversal/" TargetMode="External"/><Relationship Id="rId5" Type="http://schemas.openxmlformats.org/officeDocument/2006/relationships/hyperlink" Target="https://leetcode.com/problems/valid-palindrome/" TargetMode="External"/><Relationship Id="rId147" Type="http://schemas.openxmlformats.org/officeDocument/2006/relationships/hyperlink" Target="https://leetcode.com/problems/maximum-product-of-splitted-binary-tree/" TargetMode="External"/><Relationship Id="rId6" Type="http://schemas.openxmlformats.org/officeDocument/2006/relationships/hyperlink" Target="https://leetcode.com/problems/3sum/" TargetMode="External"/><Relationship Id="rId146" Type="http://schemas.openxmlformats.org/officeDocument/2006/relationships/hyperlink" Target="https://leetcode.com/problems/lowest-common-ancestor-of-a-binary-tree/" TargetMode="External"/><Relationship Id="rId7" Type="http://schemas.openxmlformats.org/officeDocument/2006/relationships/hyperlink" Target="https://leetcode.com/problems/container-with-most-water/" TargetMode="External"/><Relationship Id="rId145" Type="http://schemas.openxmlformats.org/officeDocument/2006/relationships/hyperlink" Target="https://leetcode.com/problems/kth-smallest-element-in-a-bst/" TargetMode="External"/><Relationship Id="rId8" Type="http://schemas.openxmlformats.org/officeDocument/2006/relationships/hyperlink" Target="https://leetcode.com/problems/intersection-of-two-linked-lists/" TargetMode="External"/><Relationship Id="rId144" Type="http://schemas.openxmlformats.org/officeDocument/2006/relationships/hyperlink" Target="https://leetcode.com/problems/inorder-successor-in-bst/" TargetMode="External"/><Relationship Id="rId73" Type="http://schemas.openxmlformats.org/officeDocument/2006/relationships/hyperlink" Target="https://leetcode.com/problems/maximum-subarray/" TargetMode="External"/><Relationship Id="rId72" Type="http://schemas.openxmlformats.org/officeDocument/2006/relationships/hyperlink" Target="https://leetcode.com/problems/maximum-product-subarray/" TargetMode="External"/><Relationship Id="rId75" Type="http://schemas.openxmlformats.org/officeDocument/2006/relationships/hyperlink" Target="https://leetcode.com/problems/palindromic-substrings/" TargetMode="External"/><Relationship Id="rId74" Type="http://schemas.openxmlformats.org/officeDocument/2006/relationships/hyperlink" Target="https://leetcode.com/problems/new-21-game/" TargetMode="External"/><Relationship Id="rId77" Type="http://schemas.openxmlformats.org/officeDocument/2006/relationships/hyperlink" Target="https://leetcode.com/problems/interleaving-string/" TargetMode="External"/><Relationship Id="rId76" Type="http://schemas.openxmlformats.org/officeDocument/2006/relationships/hyperlink" Target="https://leetcode.com/problems/unique-paths/" TargetMode="External"/><Relationship Id="rId79" Type="http://schemas.openxmlformats.org/officeDocument/2006/relationships/hyperlink" Target="https://leetcode.com/problems/longest-common-subsequence/" TargetMode="External"/><Relationship Id="rId78" Type="http://schemas.openxmlformats.org/officeDocument/2006/relationships/hyperlink" Target="https://leetcode.com/problems/jump-game-ii/" TargetMode="External"/><Relationship Id="rId71" Type="http://schemas.openxmlformats.org/officeDocument/2006/relationships/hyperlink" Target="https://leetcode.com/problems/longest-palindromic-substring/" TargetMode="External"/><Relationship Id="rId70" Type="http://schemas.openxmlformats.org/officeDocument/2006/relationships/hyperlink" Target="https://leetcode.com/problems/house-robber-ii/" TargetMode="External"/><Relationship Id="rId139" Type="http://schemas.openxmlformats.org/officeDocument/2006/relationships/hyperlink" Target="https://leetcode.com/problems/balanced-binary-tree/" TargetMode="External"/><Relationship Id="rId138" Type="http://schemas.openxmlformats.org/officeDocument/2006/relationships/hyperlink" Target="https://leetcode.com/problems/subtree-of-another-tree/" TargetMode="External"/><Relationship Id="rId137" Type="http://schemas.openxmlformats.org/officeDocument/2006/relationships/hyperlink" Target="https://leetcode.com/problems/same-tree/" TargetMode="External"/><Relationship Id="rId132" Type="http://schemas.openxmlformats.org/officeDocument/2006/relationships/hyperlink" Target="https://leetcode.com/problems/binary-tree-paths/" TargetMode="External"/><Relationship Id="rId131" Type="http://schemas.openxmlformats.org/officeDocument/2006/relationships/hyperlink" Target="https://leetcode.com/problems/shortest-path-in-binary-matrix/" TargetMode="External"/><Relationship Id="rId130" Type="http://schemas.openxmlformats.org/officeDocument/2006/relationships/hyperlink" Target="https://leetcode.com/problems/critical-connections-in-a-network/" TargetMode="External"/><Relationship Id="rId136" Type="http://schemas.openxmlformats.org/officeDocument/2006/relationships/hyperlink" Target="https://leetcode.com/problems/nested-list-weight-sum/" TargetMode="External"/><Relationship Id="rId135" Type="http://schemas.openxmlformats.org/officeDocument/2006/relationships/hyperlink" Target="https://leetcode.com/problems/maximum-depth-of-binary-tree/" TargetMode="External"/><Relationship Id="rId134" Type="http://schemas.openxmlformats.org/officeDocument/2006/relationships/hyperlink" Target="https://leetcode.com/problems/lowest-common-ancestor-of-a-binary-search-tree/" TargetMode="External"/><Relationship Id="rId133" Type="http://schemas.openxmlformats.org/officeDocument/2006/relationships/hyperlink" Target="https://leetcode.com/problems/evaluate-boolean-binary-tree/" TargetMode="External"/><Relationship Id="rId62" Type="http://schemas.openxmlformats.org/officeDocument/2006/relationships/hyperlink" Target="https://leetcode.com/problems/fibonacci-number/" TargetMode="External"/><Relationship Id="rId61" Type="http://schemas.openxmlformats.org/officeDocument/2006/relationships/hyperlink" Target="https://leetcode.com/problems/n-queens/" TargetMode="External"/><Relationship Id="rId64" Type="http://schemas.openxmlformats.org/officeDocument/2006/relationships/hyperlink" Target="https://leetcode.com/problems/coin-change/" TargetMode="External"/><Relationship Id="rId63" Type="http://schemas.openxmlformats.org/officeDocument/2006/relationships/hyperlink" Target="https://leetcode.com/problems/climbing-stairs/" TargetMode="External"/><Relationship Id="rId66" Type="http://schemas.openxmlformats.org/officeDocument/2006/relationships/hyperlink" Target="https://leetcode.com/problems/combination-sum-iv/" TargetMode="External"/><Relationship Id="rId172" Type="http://schemas.openxmlformats.org/officeDocument/2006/relationships/hyperlink" Target="https://leetcode.com/problems/4sum/" TargetMode="External"/><Relationship Id="rId65" Type="http://schemas.openxmlformats.org/officeDocument/2006/relationships/hyperlink" Target="https://leetcode.com/problems/coin-change-ii/" TargetMode="External"/><Relationship Id="rId171" Type="http://schemas.openxmlformats.org/officeDocument/2006/relationships/hyperlink" Target="https://leetcode.com/problems/word-subsets/" TargetMode="External"/><Relationship Id="rId68" Type="http://schemas.openxmlformats.org/officeDocument/2006/relationships/hyperlink" Target="https://leetcode.com/problems/edit-distance/" TargetMode="External"/><Relationship Id="rId170" Type="http://schemas.openxmlformats.org/officeDocument/2006/relationships/hyperlink" Target="https://leetcode.com/problems/subarray-sum-equals-k/" TargetMode="External"/><Relationship Id="rId67" Type="http://schemas.openxmlformats.org/officeDocument/2006/relationships/hyperlink" Target="https://leetcode.com/problems/decode-ways/" TargetMode="External"/><Relationship Id="rId60" Type="http://schemas.openxmlformats.org/officeDocument/2006/relationships/hyperlink" Target="https://leetcode.com/problems/word-search-ii/" TargetMode="External"/><Relationship Id="rId165" Type="http://schemas.openxmlformats.org/officeDocument/2006/relationships/hyperlink" Target="https://leetcode.com/problems/find-common-characters/" TargetMode="External"/><Relationship Id="rId69" Type="http://schemas.openxmlformats.org/officeDocument/2006/relationships/hyperlink" Target="https://leetcode.com/problems/house-robber/" TargetMode="External"/><Relationship Id="rId164" Type="http://schemas.openxmlformats.org/officeDocument/2006/relationships/hyperlink" Target="https://leetcode.com/problems/contains-duplicate/" TargetMode="External"/><Relationship Id="rId163" Type="http://schemas.openxmlformats.org/officeDocument/2006/relationships/hyperlink" Target="https://leetcode.com/problems/stream-of-characters/" TargetMode="External"/><Relationship Id="rId162" Type="http://schemas.openxmlformats.org/officeDocument/2006/relationships/hyperlink" Target="https://leetcode.com/problems/concatenated-words/" TargetMode="External"/><Relationship Id="rId169" Type="http://schemas.openxmlformats.org/officeDocument/2006/relationships/hyperlink" Target="https://leetcode.com/problems/group-anagrams/" TargetMode="External"/><Relationship Id="rId168" Type="http://schemas.openxmlformats.org/officeDocument/2006/relationships/hyperlink" Target="https://leetcode.com/problems/valid-anagram/" TargetMode="External"/><Relationship Id="rId167" Type="http://schemas.openxmlformats.org/officeDocument/2006/relationships/hyperlink" Target="https://leetcode.com/problems/ransom-note/" TargetMode="External"/><Relationship Id="rId166" Type="http://schemas.openxmlformats.org/officeDocument/2006/relationships/hyperlink" Target="https://leetcode.com/problems/first-unique-character-in-a-string/" TargetMode="External"/><Relationship Id="rId51" Type="http://schemas.openxmlformats.org/officeDocument/2006/relationships/hyperlink" Target="https://leetcode.com/problems/gas-station/" TargetMode="External"/><Relationship Id="rId50" Type="http://schemas.openxmlformats.org/officeDocument/2006/relationships/hyperlink" Target="https://leetcode.com/problems/boats-to-save-people/" TargetMode="External"/><Relationship Id="rId53" Type="http://schemas.openxmlformats.org/officeDocument/2006/relationships/hyperlink" Target="https://leetcode.com/problems/candy/" TargetMode="External"/><Relationship Id="rId52" Type="http://schemas.openxmlformats.org/officeDocument/2006/relationships/hyperlink" Target="https://leetcode.com/problems/jump-game/" TargetMode="External"/><Relationship Id="rId55" Type="http://schemas.openxmlformats.org/officeDocument/2006/relationships/hyperlink" Target="https://leetcode.com/problems/letter-combinations-of-a-phone-number/" TargetMode="External"/><Relationship Id="rId161" Type="http://schemas.openxmlformats.org/officeDocument/2006/relationships/hyperlink" Target="https://leetcode.com/problems/implement-trie-prefix-tree/" TargetMode="External"/><Relationship Id="rId54" Type="http://schemas.openxmlformats.org/officeDocument/2006/relationships/hyperlink" Target="https://leetcode.com/problems/combination-sum/" TargetMode="External"/><Relationship Id="rId160" Type="http://schemas.openxmlformats.org/officeDocument/2006/relationships/hyperlink" Target="https://leetcode.com/problems/add-and-search-word-data-structure-design/" TargetMode="External"/><Relationship Id="rId57" Type="http://schemas.openxmlformats.org/officeDocument/2006/relationships/hyperlink" Target="https://leetcode.com/problems/word-search/" TargetMode="External"/><Relationship Id="rId56" Type="http://schemas.openxmlformats.org/officeDocument/2006/relationships/hyperlink" Target="https://leetcode.com/problems/restore-ip-addresses/" TargetMode="External"/><Relationship Id="rId159" Type="http://schemas.openxmlformats.org/officeDocument/2006/relationships/hyperlink" Target="https://leetcode.com/problems/all-nodes-distance-k-in-binary-tree/" TargetMode="External"/><Relationship Id="rId59" Type="http://schemas.openxmlformats.org/officeDocument/2006/relationships/hyperlink" Target="https://leetcode.com/problems/sudoku-solver/" TargetMode="External"/><Relationship Id="rId154" Type="http://schemas.openxmlformats.org/officeDocument/2006/relationships/hyperlink" Target="https://leetcode.com/problems/serialize-and-deserialize-binary-tree/" TargetMode="External"/><Relationship Id="rId58" Type="http://schemas.openxmlformats.org/officeDocument/2006/relationships/hyperlink" Target="https://leetcode.com/problems/generate-parentheses/" TargetMode="External"/><Relationship Id="rId153" Type="http://schemas.openxmlformats.org/officeDocument/2006/relationships/hyperlink" Target="https://leetcode.com/problems/recover-binary-search-tree/" TargetMode="External"/><Relationship Id="rId152" Type="http://schemas.openxmlformats.org/officeDocument/2006/relationships/hyperlink" Target="https://leetcode.com/problems/largest-bst-subtree/" TargetMode="External"/><Relationship Id="rId151" Type="http://schemas.openxmlformats.org/officeDocument/2006/relationships/hyperlink" Target="https://leetcode.com/problems/binary-tree-maximum-path-sum/" TargetMode="External"/><Relationship Id="rId158" Type="http://schemas.openxmlformats.org/officeDocument/2006/relationships/hyperlink" Target="https://leetcode.com/problems/invert-binary-tree/" TargetMode="External"/><Relationship Id="rId157" Type="http://schemas.openxmlformats.org/officeDocument/2006/relationships/hyperlink" Target="https://leetcode.com/problems/binary-tree-level-order-traversal/" TargetMode="External"/><Relationship Id="rId156" Type="http://schemas.openxmlformats.org/officeDocument/2006/relationships/hyperlink" Target="https://leetcode.com/problems/populating-next-right-pointers-in-each-node/" TargetMode="External"/><Relationship Id="rId155" Type="http://schemas.openxmlformats.org/officeDocument/2006/relationships/hyperlink" Target="https://leetcode.com/problems/binary-search-tree-to-sorted-doubly-linked-list/" TargetMode="External"/><Relationship Id="rId107" Type="http://schemas.openxmlformats.org/officeDocument/2006/relationships/hyperlink" Target="https://leetcode.com/problems/evaluate-reverse-polish-notation/" TargetMode="External"/><Relationship Id="rId106" Type="http://schemas.openxmlformats.org/officeDocument/2006/relationships/hyperlink" Target="https://leetcode.com/problems/buildings-with-an-ocean-view/" TargetMode="External"/><Relationship Id="rId105" Type="http://schemas.openxmlformats.org/officeDocument/2006/relationships/hyperlink" Target="https://leetcode.com/problems/asteroid-collision/" TargetMode="External"/><Relationship Id="rId104" Type="http://schemas.openxmlformats.org/officeDocument/2006/relationships/hyperlink" Target="https://leetcode.com/problems/binary-tree-inorder-traversal/" TargetMode="External"/><Relationship Id="rId109" Type="http://schemas.openxmlformats.org/officeDocument/2006/relationships/hyperlink" Target="https://leetcode.com/problems/remove-k-digits/" TargetMode="External"/><Relationship Id="rId108" Type="http://schemas.openxmlformats.org/officeDocument/2006/relationships/hyperlink" Target="https://leetcode.com/problems/next-greater-element-ii/" TargetMode="External"/><Relationship Id="rId103" Type="http://schemas.openxmlformats.org/officeDocument/2006/relationships/hyperlink" Target="https://leetcode.com/problems/diagonal-traverse/" TargetMode="External"/><Relationship Id="rId102" Type="http://schemas.openxmlformats.org/officeDocument/2006/relationships/hyperlink" Target="https://leetcode.com/problems/spiral-matrix/" TargetMode="External"/><Relationship Id="rId101" Type="http://schemas.openxmlformats.org/officeDocument/2006/relationships/hyperlink" Target="https://leetcode.com/problems/set-matrix-zeroes/" TargetMode="External"/><Relationship Id="rId100" Type="http://schemas.openxmlformats.org/officeDocument/2006/relationships/hyperlink" Target="https://leetcode.com/problems/search-a-2d-matrix-ii/" TargetMode="External"/><Relationship Id="rId129" Type="http://schemas.openxmlformats.org/officeDocument/2006/relationships/hyperlink" Target="https://leetcode.com/problems/network-delay-time/" TargetMode="External"/><Relationship Id="rId128" Type="http://schemas.openxmlformats.org/officeDocument/2006/relationships/hyperlink" Target="https://leetcode.com/problems/minimum-knight-moves/" TargetMode="External"/><Relationship Id="rId127" Type="http://schemas.openxmlformats.org/officeDocument/2006/relationships/hyperlink" Target="https://leetcode.com/problems/making-a-large-island/" TargetMode="External"/><Relationship Id="rId126" Type="http://schemas.openxmlformats.org/officeDocument/2006/relationships/hyperlink" Target="https://leetcode.com/problems/rotting-oranges/" TargetMode="External"/><Relationship Id="rId121" Type="http://schemas.openxmlformats.org/officeDocument/2006/relationships/hyperlink" Target="https://leetcode.com/problems/min-cost-to-connect-all-points/" TargetMode="External"/><Relationship Id="rId120" Type="http://schemas.openxmlformats.org/officeDocument/2006/relationships/hyperlink" Target="https://leetcode.com/problems/is-graph-bipartite/" TargetMode="External"/><Relationship Id="rId125" Type="http://schemas.openxmlformats.org/officeDocument/2006/relationships/hyperlink" Target="https://leetcode.com/problems/pacific-atlantic-water-flow/" TargetMode="External"/><Relationship Id="rId124" Type="http://schemas.openxmlformats.org/officeDocument/2006/relationships/hyperlink" Target="https://leetcode.com/problems/number-of-islands/" TargetMode="External"/><Relationship Id="rId123" Type="http://schemas.openxmlformats.org/officeDocument/2006/relationships/hyperlink" Target="https://leetcode.com/problems/number-of-enclaves/" TargetMode="External"/><Relationship Id="rId122" Type="http://schemas.openxmlformats.org/officeDocument/2006/relationships/hyperlink" Target="https://leetcode.com/problems/minesweeper/" TargetMode="External"/><Relationship Id="rId95" Type="http://schemas.openxmlformats.org/officeDocument/2006/relationships/hyperlink" Target="https://leetcode.com/problems/course-schedule-ii/" TargetMode="External"/><Relationship Id="rId94" Type="http://schemas.openxmlformats.org/officeDocument/2006/relationships/hyperlink" Target="https://leetcode.com/problems/alien-dictionary/" TargetMode="External"/><Relationship Id="rId97" Type="http://schemas.openxmlformats.org/officeDocument/2006/relationships/hyperlink" Target="https://leetcode.com/problems/count-of-smaller-numbers-after-self/" TargetMode="External"/><Relationship Id="rId96" Type="http://schemas.openxmlformats.org/officeDocument/2006/relationships/hyperlink" Target="https://leetcode.com/problems/sort-an-array/" TargetMode="External"/><Relationship Id="rId99" Type="http://schemas.openxmlformats.org/officeDocument/2006/relationships/hyperlink" Target="https://leetcode.com/problems/rotate-image/" TargetMode="External"/><Relationship Id="rId98" Type="http://schemas.openxmlformats.org/officeDocument/2006/relationships/hyperlink" Target="https://leetcode.com/problems/transpose-matrix/" TargetMode="External"/><Relationship Id="rId91" Type="http://schemas.openxmlformats.org/officeDocument/2006/relationships/hyperlink" Target="https://leetcode.com/problems/unique-binary-search-trees/" TargetMode="External"/><Relationship Id="rId90" Type="http://schemas.openxmlformats.org/officeDocument/2006/relationships/hyperlink" Target="https://leetcode.com/problems/palindrome-partitioning-ii/" TargetMode="External"/><Relationship Id="rId93" Type="http://schemas.openxmlformats.org/officeDocument/2006/relationships/hyperlink" Target="https://leetcode.com/problems/missing-number/" TargetMode="External"/><Relationship Id="rId92" Type="http://schemas.openxmlformats.org/officeDocument/2006/relationships/hyperlink" Target="https://leetcode.com/problems/find-the-duplicate-number/" TargetMode="External"/><Relationship Id="rId118" Type="http://schemas.openxmlformats.org/officeDocument/2006/relationships/hyperlink" Target="https://leetcode.com/problems/clone-graph/" TargetMode="External"/><Relationship Id="rId117" Type="http://schemas.openxmlformats.org/officeDocument/2006/relationships/hyperlink" Target="https://leetcode.com/problems/circular-array-loop/" TargetMode="External"/><Relationship Id="rId116" Type="http://schemas.openxmlformats.org/officeDocument/2006/relationships/hyperlink" Target="https://leetcode.com/problems/find-if-path-exists-in-graph/" TargetMode="External"/><Relationship Id="rId115" Type="http://schemas.openxmlformats.org/officeDocument/2006/relationships/hyperlink" Target="https://leetcode.com/problems/maximal-rectangle/" TargetMode="External"/><Relationship Id="rId119" Type="http://schemas.openxmlformats.org/officeDocument/2006/relationships/hyperlink" Target="https://leetcode.com/problems/course-schedule/" TargetMode="External"/><Relationship Id="rId110" Type="http://schemas.openxmlformats.org/officeDocument/2006/relationships/hyperlink" Target="https://leetcode.com/problems/valid-parentheses/" TargetMode="External"/><Relationship Id="rId114" Type="http://schemas.openxmlformats.org/officeDocument/2006/relationships/hyperlink" Target="https://leetcode.com/problems/longest-valid-parentheses/" TargetMode="External"/><Relationship Id="rId113" Type="http://schemas.openxmlformats.org/officeDocument/2006/relationships/hyperlink" Target="https://leetcode.com/problems/leaf-similar-trees/" TargetMode="External"/><Relationship Id="rId112" Type="http://schemas.openxmlformats.org/officeDocument/2006/relationships/hyperlink" Target="https://leetcode.com/problems/simplify-path/" TargetMode="External"/><Relationship Id="rId111" Type="http://schemas.openxmlformats.org/officeDocument/2006/relationships/hyperlink" Target="https://leetcode.com/problems/largest-rectangle-in-histogram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ubtree-of-another-tree/" TargetMode="External"/><Relationship Id="rId42" Type="http://schemas.openxmlformats.org/officeDocument/2006/relationships/hyperlink" Target="https://leetcode.com/problems/construct-binary-tree-from-preorder-and-inorder-traversal/" TargetMode="External"/><Relationship Id="rId41" Type="http://schemas.openxmlformats.org/officeDocument/2006/relationships/hyperlink" Target="https://leetcode.com/problems/binary-tree-level-order-traversal/" TargetMode="External"/><Relationship Id="rId44" Type="http://schemas.openxmlformats.org/officeDocument/2006/relationships/hyperlink" Target="https://leetcode.com/problems/serialize-and-deserialize-binary-tree/" TargetMode="External"/><Relationship Id="rId43" Type="http://schemas.openxmlformats.org/officeDocument/2006/relationships/hyperlink" Target="https://leetcode.com/problems/binary-tree-maximum-path-sum/" TargetMode="External"/><Relationship Id="rId46" Type="http://schemas.openxmlformats.org/officeDocument/2006/relationships/hyperlink" Target="https://leetcode.com/problems/validate-binary-search-tree/" TargetMode="External"/><Relationship Id="rId45" Type="http://schemas.openxmlformats.org/officeDocument/2006/relationships/hyperlink" Target="https://leetcode.com/problems/lowest-common-ancestor-of-a-binary-search-tree/" TargetMode="External"/><Relationship Id="rId48" Type="http://schemas.openxmlformats.org/officeDocument/2006/relationships/hyperlink" Target="https://leetcode.com/problems/implement-trie-prefix-tree/" TargetMode="External"/><Relationship Id="rId47" Type="http://schemas.openxmlformats.org/officeDocument/2006/relationships/hyperlink" Target="https://leetcode.com/problems/kth-smallest-element-in-a-bst/" TargetMode="External"/><Relationship Id="rId49" Type="http://schemas.openxmlformats.org/officeDocument/2006/relationships/hyperlink" Target="https://leetcode.com/problems/add-and-search-word-data-structure-design/" TargetMode="External"/><Relationship Id="rId31" Type="http://schemas.openxmlformats.org/officeDocument/2006/relationships/hyperlink" Target="https://leetcode.com/problems/reverse-linked-list/" TargetMode="External"/><Relationship Id="rId30" Type="http://schemas.openxmlformats.org/officeDocument/2006/relationships/hyperlink" Target="https://leetcode.com/problems/search-in-rotated-sorted-array/" TargetMode="External"/><Relationship Id="rId33" Type="http://schemas.openxmlformats.org/officeDocument/2006/relationships/hyperlink" Target="https://leetcode.com/problems/linked-list-cycle/" TargetMode="External"/><Relationship Id="rId32" Type="http://schemas.openxmlformats.org/officeDocument/2006/relationships/hyperlink" Target="https://leetcode.com/problems/merge-two-sorted-lists/" TargetMode="External"/><Relationship Id="rId35" Type="http://schemas.openxmlformats.org/officeDocument/2006/relationships/hyperlink" Target="https://leetcode.com/problems/remove-nth-node-from-end-of-list/" TargetMode="External"/><Relationship Id="rId34" Type="http://schemas.openxmlformats.org/officeDocument/2006/relationships/hyperlink" Target="https://leetcode.com/problems/reorder-list/" TargetMode="External"/><Relationship Id="rId37" Type="http://schemas.openxmlformats.org/officeDocument/2006/relationships/hyperlink" Target="https://leetcode.com/problems/invert-binary-tree/" TargetMode="External"/><Relationship Id="rId36" Type="http://schemas.openxmlformats.org/officeDocument/2006/relationships/hyperlink" Target="https://leetcode.com/problems/merge-k-sorted-lists/" TargetMode="External"/><Relationship Id="rId39" Type="http://schemas.openxmlformats.org/officeDocument/2006/relationships/hyperlink" Target="https://leetcode.com/problems/same-tree/" TargetMode="External"/><Relationship Id="rId38" Type="http://schemas.openxmlformats.org/officeDocument/2006/relationships/hyperlink" Target="https://leetcode.com/problems/maximum-depth-of-binary-tree/" TargetMode="External"/><Relationship Id="rId20" Type="http://schemas.openxmlformats.org/officeDocument/2006/relationships/hyperlink" Target="https://leetcode.com/problems/longest-substring-without-repeating-characters/" TargetMode="External"/><Relationship Id="rId22" Type="http://schemas.openxmlformats.org/officeDocument/2006/relationships/hyperlink" Target="https://leetcode.com/problems/minimum-window-substring/" TargetMode="External"/><Relationship Id="rId21" Type="http://schemas.openxmlformats.org/officeDocument/2006/relationships/hyperlink" Target="https://leetcode.com/problems/longest-repeating-character-replacement/" TargetMode="External"/><Relationship Id="rId24" Type="http://schemas.openxmlformats.org/officeDocument/2006/relationships/hyperlink" Target="https://leetcode.com/problems/palindromic-substrings/" TargetMode="External"/><Relationship Id="rId23" Type="http://schemas.openxmlformats.org/officeDocument/2006/relationships/hyperlink" Target="https://leetcode.com/problems/longest-palindromic-substring/" TargetMode="External"/><Relationship Id="rId26" Type="http://schemas.openxmlformats.org/officeDocument/2006/relationships/hyperlink" Target="https://leetcode.com/problems/rotate-image/" TargetMode="External"/><Relationship Id="rId25" Type="http://schemas.openxmlformats.org/officeDocument/2006/relationships/hyperlink" Target="https://leetcode.com/problems/valid-parentheses/" TargetMode="External"/><Relationship Id="rId28" Type="http://schemas.openxmlformats.org/officeDocument/2006/relationships/hyperlink" Target="https://leetcode.com/problems/set-matrix-zeroes/" TargetMode="External"/><Relationship Id="rId27" Type="http://schemas.openxmlformats.org/officeDocument/2006/relationships/hyperlink" Target="https://leetcode.com/problems/spiral-matrix/" TargetMode="External"/><Relationship Id="rId29" Type="http://schemas.openxmlformats.org/officeDocument/2006/relationships/hyperlink" Target="https://leetcode.com/problems/find-minimum-in-rotated-sorted-array/" TargetMode="External"/><Relationship Id="rId11" Type="http://schemas.openxmlformats.org/officeDocument/2006/relationships/hyperlink" Target="https://leetcode.com/problems/merge-intervals/" TargetMode="External"/><Relationship Id="rId10" Type="http://schemas.openxmlformats.org/officeDocument/2006/relationships/hyperlink" Target="https://leetcode.com/problems/insert-interval/" TargetMode="External"/><Relationship Id="rId13" Type="http://schemas.openxmlformats.org/officeDocument/2006/relationships/hyperlink" Target="https://leetcode.com/problems/meeting-rooms/" TargetMode="External"/><Relationship Id="rId12" Type="http://schemas.openxmlformats.org/officeDocument/2006/relationships/hyperlink" Target="https://leetcode.com/problems/non-overlapping-intervals/" TargetMode="External"/><Relationship Id="rId15" Type="http://schemas.openxmlformats.org/officeDocument/2006/relationships/hyperlink" Target="https://leetcode.com/problems/missing-number/" TargetMode="External"/><Relationship Id="rId14" Type="http://schemas.openxmlformats.org/officeDocument/2006/relationships/hyperlink" Target="https://leetcode.com/problems/meeting-rooms-ii/" TargetMode="External"/><Relationship Id="rId17" Type="http://schemas.openxmlformats.org/officeDocument/2006/relationships/hyperlink" Target="https://leetcode.com/problems/group-anagrams/" TargetMode="External"/><Relationship Id="rId16" Type="http://schemas.openxmlformats.org/officeDocument/2006/relationships/hyperlink" Target="https://leetcode.com/problems/valid-anagram/" TargetMode="External"/><Relationship Id="rId19" Type="http://schemas.openxmlformats.org/officeDocument/2006/relationships/hyperlink" Target="https://leetcode.com/problems/valid-palindrome/" TargetMode="External"/><Relationship Id="rId18" Type="http://schemas.openxmlformats.org/officeDocument/2006/relationships/hyperlink" Target="https://leetcode.com/problems/encode-and-decode-strings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top-k-frequent-elements/" TargetMode="External"/><Relationship Id="rId4" Type="http://schemas.openxmlformats.org/officeDocument/2006/relationships/hyperlink" Target="https://leetcode.com/problems/product-of-array-except-self/" TargetMode="External"/><Relationship Id="rId9" Type="http://schemas.openxmlformats.org/officeDocument/2006/relationships/hyperlink" Target="https://leetcode.com/problems/combination-sum/" TargetMode="External"/><Relationship Id="rId5" Type="http://schemas.openxmlformats.org/officeDocument/2006/relationships/hyperlink" Target="https://leetcode.com/problems/longest-consecutive-sequence/" TargetMode="External"/><Relationship Id="rId6" Type="http://schemas.openxmlformats.org/officeDocument/2006/relationships/hyperlink" Target="https://leetcode.com/problems/3sum/" TargetMode="External"/><Relationship Id="rId7" Type="http://schemas.openxmlformats.org/officeDocument/2006/relationships/hyperlink" Target="https://leetcode.com/problems/container-with-most-water/" TargetMode="External"/><Relationship Id="rId8" Type="http://schemas.openxmlformats.org/officeDocument/2006/relationships/hyperlink" Target="https://leetcode.com/problems/best-time-to-buy-and-sell-stock/" TargetMode="External"/><Relationship Id="rId73" Type="http://schemas.openxmlformats.org/officeDocument/2006/relationships/hyperlink" Target="https://leetcode.com/problems/counting-bits/" TargetMode="External"/><Relationship Id="rId72" Type="http://schemas.openxmlformats.org/officeDocument/2006/relationships/hyperlink" Target="https://leetcode.com/problems/number-of-1-bits/" TargetMode="External"/><Relationship Id="rId75" Type="http://schemas.openxmlformats.org/officeDocument/2006/relationships/hyperlink" Target="https://leetcode.com/problems/sum-of-two-integers/" TargetMode="External"/><Relationship Id="rId74" Type="http://schemas.openxmlformats.org/officeDocument/2006/relationships/hyperlink" Target="https://leetcode.com/problems/reverse-bits/" TargetMode="External"/><Relationship Id="rId76" Type="http://schemas.openxmlformats.org/officeDocument/2006/relationships/drawing" Target="../drawings/drawing3.xml"/><Relationship Id="rId71" Type="http://schemas.openxmlformats.org/officeDocument/2006/relationships/hyperlink" Target="https://leetcode.com/problems/maximum-subarray/" TargetMode="External"/><Relationship Id="rId70" Type="http://schemas.openxmlformats.org/officeDocument/2006/relationships/hyperlink" Target="https://leetcode.com/problems/combination-sum-iv/" TargetMode="External"/><Relationship Id="rId62" Type="http://schemas.openxmlformats.org/officeDocument/2006/relationships/hyperlink" Target="https://leetcode.com/problems/house-robber-ii/" TargetMode="External"/><Relationship Id="rId61" Type="http://schemas.openxmlformats.org/officeDocument/2006/relationships/hyperlink" Target="https://leetcode.com/problems/house-robber/" TargetMode="External"/><Relationship Id="rId64" Type="http://schemas.openxmlformats.org/officeDocument/2006/relationships/hyperlink" Target="https://leetcode.com/problems/coin-change/" TargetMode="External"/><Relationship Id="rId63" Type="http://schemas.openxmlformats.org/officeDocument/2006/relationships/hyperlink" Target="https://leetcode.com/problems/decode-ways/" TargetMode="External"/><Relationship Id="rId66" Type="http://schemas.openxmlformats.org/officeDocument/2006/relationships/hyperlink" Target="https://leetcode.com/problems/word-break/" TargetMode="External"/><Relationship Id="rId65" Type="http://schemas.openxmlformats.org/officeDocument/2006/relationships/hyperlink" Target="https://leetcode.com/problems/maximum-product-subarray/" TargetMode="External"/><Relationship Id="rId68" Type="http://schemas.openxmlformats.org/officeDocument/2006/relationships/hyperlink" Target="https://leetcode.com/problems/unique-paths/" TargetMode="External"/><Relationship Id="rId67" Type="http://schemas.openxmlformats.org/officeDocument/2006/relationships/hyperlink" Target="https://leetcode.com/problems/longest-increasing-subsequence/" TargetMode="External"/><Relationship Id="rId60" Type="http://schemas.openxmlformats.org/officeDocument/2006/relationships/hyperlink" Target="https://leetcode.com/problems/climbing-stairs/" TargetMode="External"/><Relationship Id="rId69" Type="http://schemas.openxmlformats.org/officeDocument/2006/relationships/hyperlink" Target="https://leetcode.com/problems/jump-game/" TargetMode="External"/><Relationship Id="rId51" Type="http://schemas.openxmlformats.org/officeDocument/2006/relationships/hyperlink" Target="https://leetcode.com/problems/find-median-from-data-stream/" TargetMode="External"/><Relationship Id="rId50" Type="http://schemas.openxmlformats.org/officeDocument/2006/relationships/hyperlink" Target="https://leetcode.com/problems/word-search-ii/" TargetMode="External"/><Relationship Id="rId53" Type="http://schemas.openxmlformats.org/officeDocument/2006/relationships/hyperlink" Target="https://leetcode.com/problems/number-of-islands/" TargetMode="External"/><Relationship Id="rId52" Type="http://schemas.openxmlformats.org/officeDocument/2006/relationships/hyperlink" Target="https://leetcode.com/problems/word-search/" TargetMode="External"/><Relationship Id="rId55" Type="http://schemas.openxmlformats.org/officeDocument/2006/relationships/hyperlink" Target="https://leetcode.com/problems/pacific-atlantic-water-flow/" TargetMode="External"/><Relationship Id="rId54" Type="http://schemas.openxmlformats.org/officeDocument/2006/relationships/hyperlink" Target="https://leetcode.com/problems/clone-graph/" TargetMode="External"/><Relationship Id="rId57" Type="http://schemas.openxmlformats.org/officeDocument/2006/relationships/hyperlink" Target="https://leetcode.com/problems/number-of-connected-components-in-an-undirected-graph/" TargetMode="External"/><Relationship Id="rId56" Type="http://schemas.openxmlformats.org/officeDocument/2006/relationships/hyperlink" Target="https://leetcode.com/problems/course-schedule/" TargetMode="External"/><Relationship Id="rId59" Type="http://schemas.openxmlformats.org/officeDocument/2006/relationships/hyperlink" Target="https://leetcode.com/problems/alien-dictionary/" TargetMode="External"/><Relationship Id="rId58" Type="http://schemas.openxmlformats.org/officeDocument/2006/relationships/hyperlink" Target="https://leetcode.com/problems/graph-valid-tre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nnecting-cities-with-minimum-cost/" TargetMode="External"/><Relationship Id="rId42" Type="http://schemas.openxmlformats.org/officeDocument/2006/relationships/hyperlink" Target="https://leetcode.com/problems/surrounded-regions/" TargetMode="External"/><Relationship Id="rId41" Type="http://schemas.openxmlformats.org/officeDocument/2006/relationships/hyperlink" Target="https://leetcode.com/problems/redundant-connection/" TargetMode="External"/><Relationship Id="rId44" Type="http://schemas.openxmlformats.org/officeDocument/2006/relationships/hyperlink" Target="https://leetcode.com/problems/find-the-town-judge/" TargetMode="External"/><Relationship Id="rId43" Type="http://schemas.openxmlformats.org/officeDocument/2006/relationships/hyperlink" Target="https://leetcode.com/problems/walls-and-gates/" TargetMode="External"/><Relationship Id="rId46" Type="http://schemas.openxmlformats.org/officeDocument/2006/relationships/hyperlink" Target="https://leetcode.com/problems/burst-balloons/" TargetMode="External"/><Relationship Id="rId45" Type="http://schemas.openxmlformats.org/officeDocument/2006/relationships/hyperlink" Target="https://leetcode.com/problems/min-cost-climbing-stairs/" TargetMode="External"/><Relationship Id="rId48" Type="http://schemas.openxmlformats.org/officeDocument/2006/relationships/hyperlink" Target="https://leetcode.com/problems/minimum-path-sum/" TargetMode="External"/><Relationship Id="rId47" Type="http://schemas.openxmlformats.org/officeDocument/2006/relationships/hyperlink" Target="https://leetcode.com/problems/regular-expression-matching/" TargetMode="External"/><Relationship Id="rId49" Type="http://schemas.openxmlformats.org/officeDocument/2006/relationships/hyperlink" Target="https://leetcode.com/problems/target-sum/" TargetMode="External"/><Relationship Id="rId31" Type="http://schemas.openxmlformats.org/officeDocument/2006/relationships/hyperlink" Target="https://leetcode.com/problems/last-stone-weight/" TargetMode="External"/><Relationship Id="rId30" Type="http://schemas.openxmlformats.org/officeDocument/2006/relationships/hyperlink" Target="https://leetcode.com/problems/task-scheduler/" TargetMode="External"/><Relationship Id="rId33" Type="http://schemas.openxmlformats.org/officeDocument/2006/relationships/hyperlink" Target="https://leetcode.com/problems/palindrome-partitioning/" TargetMode="External"/><Relationship Id="rId32" Type="http://schemas.openxmlformats.org/officeDocument/2006/relationships/hyperlink" Target="https://leetcode.com/problems/combination-sum-ii/" TargetMode="External"/><Relationship Id="rId35" Type="http://schemas.openxmlformats.org/officeDocument/2006/relationships/hyperlink" Target="https://leetcode.com/problems/reconstruct-itinerary/" TargetMode="External"/><Relationship Id="rId34" Type="http://schemas.openxmlformats.org/officeDocument/2006/relationships/hyperlink" Target="https://leetcode.com/problems/subsets-ii/" TargetMode="External"/><Relationship Id="rId37" Type="http://schemas.openxmlformats.org/officeDocument/2006/relationships/hyperlink" Target="https://leetcode.com/problems/word-ladder/" TargetMode="External"/><Relationship Id="rId36" Type="http://schemas.openxmlformats.org/officeDocument/2006/relationships/hyperlink" Target="https://leetcode.com/problems/swim-in-rising-water/" TargetMode="External"/><Relationship Id="rId39" Type="http://schemas.openxmlformats.org/officeDocument/2006/relationships/hyperlink" Target="https://leetcode.com/problems/max-area-of-island/" TargetMode="External"/><Relationship Id="rId38" Type="http://schemas.openxmlformats.org/officeDocument/2006/relationships/hyperlink" Target="https://leetcode.com/problems/cheapest-flights-within-k-stops/" TargetMode="External"/><Relationship Id="rId20" Type="http://schemas.openxmlformats.org/officeDocument/2006/relationships/hyperlink" Target="https://leetcode.com/problems/reverse-nodes-in-k-group/" TargetMode="External"/><Relationship Id="rId22" Type="http://schemas.openxmlformats.org/officeDocument/2006/relationships/hyperlink" Target="https://leetcode.com/problems/sort-list/" TargetMode="External"/><Relationship Id="rId21" Type="http://schemas.openxmlformats.org/officeDocument/2006/relationships/hyperlink" Target="https://leetcode.com/problems/copy-list-with-random-pointer/" TargetMode="External"/><Relationship Id="rId24" Type="http://schemas.openxmlformats.org/officeDocument/2006/relationships/hyperlink" Target="https://leetcode.com/problems/count-good-nodes-in-binary-tree/" TargetMode="External"/><Relationship Id="rId23" Type="http://schemas.openxmlformats.org/officeDocument/2006/relationships/hyperlink" Target="https://leetcode.com/problems/binary-tree-right-side-view/" TargetMode="External"/><Relationship Id="rId26" Type="http://schemas.openxmlformats.org/officeDocument/2006/relationships/hyperlink" Target="https://leetcode.com/problems/path-sum-ii/" TargetMode="External"/><Relationship Id="rId25" Type="http://schemas.openxmlformats.org/officeDocument/2006/relationships/hyperlink" Target="https://leetcode.com/problems/flatten-binary-tree-to-linked-list/" TargetMode="External"/><Relationship Id="rId28" Type="http://schemas.openxmlformats.org/officeDocument/2006/relationships/hyperlink" Target="https://leetcode.com/problems/design-twitter/" TargetMode="External"/><Relationship Id="rId27" Type="http://schemas.openxmlformats.org/officeDocument/2006/relationships/hyperlink" Target="https://leetcode.com/problems/ipo/" TargetMode="External"/><Relationship Id="rId29" Type="http://schemas.openxmlformats.org/officeDocument/2006/relationships/hyperlink" Target="https://leetcode.com/problems/k-closest-points-to-origin/" TargetMode="External"/><Relationship Id="rId11" Type="http://schemas.openxmlformats.org/officeDocument/2006/relationships/hyperlink" Target="https://leetcode.com/problems/car-fleet/" TargetMode="External"/><Relationship Id="rId10" Type="http://schemas.openxmlformats.org/officeDocument/2006/relationships/hyperlink" Target="https://leetcode.com/problems/permutation-in-string/" TargetMode="External"/><Relationship Id="rId13" Type="http://schemas.openxmlformats.org/officeDocument/2006/relationships/hyperlink" Target="https://leetcode.com/problems/decode-string/" TargetMode="External"/><Relationship Id="rId12" Type="http://schemas.openxmlformats.org/officeDocument/2006/relationships/hyperlink" Target="https://leetcode.com/problems/daily-temperatures/" TargetMode="External"/><Relationship Id="rId15" Type="http://schemas.openxmlformats.org/officeDocument/2006/relationships/hyperlink" Target="https://leetcode.com/problems/koko-eating-bananas/" TargetMode="External"/><Relationship Id="rId14" Type="http://schemas.openxmlformats.org/officeDocument/2006/relationships/hyperlink" Target="https://leetcode.com/problems/find-peak-element/" TargetMode="External"/><Relationship Id="rId17" Type="http://schemas.openxmlformats.org/officeDocument/2006/relationships/hyperlink" Target="https://leetcode.com/problems/search-in-rotated-sorted-array-ii/" TargetMode="External"/><Relationship Id="rId16" Type="http://schemas.openxmlformats.org/officeDocument/2006/relationships/hyperlink" Target="https://leetcode.com/problems/search-a-2d-matrix/" TargetMode="External"/><Relationship Id="rId19" Type="http://schemas.openxmlformats.org/officeDocument/2006/relationships/hyperlink" Target="https://leetcode.com/problems/first-bad-version/" TargetMode="External"/><Relationship Id="rId18" Type="http://schemas.openxmlformats.org/officeDocument/2006/relationships/hyperlink" Target="https://leetcode.com/problems/time-based-key-value-store/" TargetMode="External"/><Relationship Id="rId1" Type="http://schemas.openxmlformats.org/officeDocument/2006/relationships/hyperlink" Target="https://leetcode.com/problems/find-all-duplicates-in-an-array/" TargetMode="External"/><Relationship Id="rId2" Type="http://schemas.openxmlformats.org/officeDocument/2006/relationships/hyperlink" Target="https://leetcode.com/problems/rotate-array/" TargetMode="External"/><Relationship Id="rId3" Type="http://schemas.openxmlformats.org/officeDocument/2006/relationships/hyperlink" Target="https://leetcode.com/problems/next-permutation/" TargetMode="External"/><Relationship Id="rId4" Type="http://schemas.openxmlformats.org/officeDocument/2006/relationships/hyperlink" Target="https://leetcode.com/problems/two-sum-ii-input-array-is-sorted/" TargetMode="External"/><Relationship Id="rId9" Type="http://schemas.openxmlformats.org/officeDocument/2006/relationships/hyperlink" Target="https://leetcode.com/problems/minimum-size-subarray-sum/" TargetMode="External"/><Relationship Id="rId5" Type="http://schemas.openxmlformats.org/officeDocument/2006/relationships/hyperlink" Target="https://leetcode.com/problems/remove-duplicates-from-sorted-array/" TargetMode="External"/><Relationship Id="rId6" Type="http://schemas.openxmlformats.org/officeDocument/2006/relationships/hyperlink" Target="https://leetcode.com/problems/sliding-window-maximum/" TargetMode="External"/><Relationship Id="rId7" Type="http://schemas.openxmlformats.org/officeDocument/2006/relationships/hyperlink" Target="https://leetcode.com/problems/find-all-anagrams-in-a-string/" TargetMode="External"/><Relationship Id="rId8" Type="http://schemas.openxmlformats.org/officeDocument/2006/relationships/hyperlink" Target="https://leetcode.com/problems/fruit-into-baskets/" TargetMode="External"/><Relationship Id="rId73" Type="http://schemas.openxmlformats.org/officeDocument/2006/relationships/drawing" Target="../drawings/drawing6.xml"/><Relationship Id="rId72" Type="http://schemas.openxmlformats.org/officeDocument/2006/relationships/hyperlink" Target="https://leetcode.com/problems/design-hashmap/" TargetMode="External"/><Relationship Id="rId71" Type="http://schemas.openxmlformats.org/officeDocument/2006/relationships/hyperlink" Target="https://leetcode.com/problems/insert-delete-getrandom-o1/" TargetMode="External"/><Relationship Id="rId70" Type="http://schemas.openxmlformats.org/officeDocument/2006/relationships/hyperlink" Target="https://leetcode.com/problems/lfu-cache/" TargetMode="External"/><Relationship Id="rId62" Type="http://schemas.openxmlformats.org/officeDocument/2006/relationships/hyperlink" Target="https://leetcode.com/problems/integer-to-roman/" TargetMode="External"/><Relationship Id="rId61" Type="http://schemas.openxmlformats.org/officeDocument/2006/relationships/hyperlink" Target="https://leetcode.com/problems/count-and-say/" TargetMode="External"/><Relationship Id="rId64" Type="http://schemas.openxmlformats.org/officeDocument/2006/relationships/hyperlink" Target="https://leetcode.com/problems/string-to-integer-atoi/" TargetMode="External"/><Relationship Id="rId63" Type="http://schemas.openxmlformats.org/officeDocument/2006/relationships/hyperlink" Target="https://leetcode.com/problems/minimum-deletions-to-make-character-frequencies-unique/" TargetMode="External"/><Relationship Id="rId66" Type="http://schemas.openxmlformats.org/officeDocument/2006/relationships/hyperlink" Target="https://leetcode.com/problems/longest-common-prefix/" TargetMode="External"/><Relationship Id="rId65" Type="http://schemas.openxmlformats.org/officeDocument/2006/relationships/hyperlink" Target="https://leetcode.com/problems/zigzag-conversion/" TargetMode="External"/><Relationship Id="rId68" Type="http://schemas.openxmlformats.org/officeDocument/2006/relationships/hyperlink" Target="https://leetcode.com/problems/roman-to-integer/" TargetMode="External"/><Relationship Id="rId67" Type="http://schemas.openxmlformats.org/officeDocument/2006/relationships/hyperlink" Target="https://leetcode.com/problems/longest-palindrome/" TargetMode="External"/><Relationship Id="rId60" Type="http://schemas.openxmlformats.org/officeDocument/2006/relationships/hyperlink" Target="https://leetcode.com/problems/single-number/" TargetMode="External"/><Relationship Id="rId69" Type="http://schemas.openxmlformats.org/officeDocument/2006/relationships/hyperlink" Target="https://leetcode.com/problems/design-in-memory-file-system/" TargetMode="External"/><Relationship Id="rId51" Type="http://schemas.openxmlformats.org/officeDocument/2006/relationships/hyperlink" Target="https://leetcode.com/problems/hand-of-straights/" TargetMode="External"/><Relationship Id="rId50" Type="http://schemas.openxmlformats.org/officeDocument/2006/relationships/hyperlink" Target="https://leetcode.com/problems/unique-paths-ii/" TargetMode="External"/><Relationship Id="rId53" Type="http://schemas.openxmlformats.org/officeDocument/2006/relationships/hyperlink" Target="https://leetcode.com/problems/partition-labels/" TargetMode="External"/><Relationship Id="rId52" Type="http://schemas.openxmlformats.org/officeDocument/2006/relationships/hyperlink" Target="https://leetcode.com/problems/minimum-number-of-arrows-to-burst-balloons/" TargetMode="External"/><Relationship Id="rId55" Type="http://schemas.openxmlformats.org/officeDocument/2006/relationships/hyperlink" Target="https://leetcode.com/problems/multiply-strings/" TargetMode="External"/><Relationship Id="rId54" Type="http://schemas.openxmlformats.org/officeDocument/2006/relationships/hyperlink" Target="https://leetcode.com/problems/minimum-interval-to-include-each-query/" TargetMode="External"/><Relationship Id="rId57" Type="http://schemas.openxmlformats.org/officeDocument/2006/relationships/hyperlink" Target="https://leetcode.com/problems/happy-number/" TargetMode="External"/><Relationship Id="rId56" Type="http://schemas.openxmlformats.org/officeDocument/2006/relationships/hyperlink" Target="https://leetcode.com/problems/powx-n/" TargetMode="External"/><Relationship Id="rId59" Type="http://schemas.openxmlformats.org/officeDocument/2006/relationships/hyperlink" Target="https://leetcode.com/problems/reverse-integer/" TargetMode="External"/><Relationship Id="rId58" Type="http://schemas.openxmlformats.org/officeDocument/2006/relationships/hyperlink" Target="https://leetcode.com/problems/plus-o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46.0"/>
    <col customWidth="1" min="3" max="3" width="36.0"/>
    <col customWidth="1" min="4" max="4" width="11.0"/>
    <col customWidth="1" min="5" max="5" width="26.0"/>
    <col customWidth="1" min="6" max="6" width="8.86"/>
    <col customWidth="1" min="7" max="7" width="9.0"/>
    <col customWidth="1" min="8" max="8" width="26.0"/>
    <col customWidth="1" min="9" max="9" width="17.43"/>
    <col customWidth="1" min="10" max="10" width="70.0"/>
    <col customWidth="1" min="11" max="26" width="8.71"/>
  </cols>
  <sheetData>
    <row r="1" ht="26.25" customHeight="1">
      <c r="A1" s="2" t="s">
        <v>3</v>
      </c>
      <c r="B1" s="2" t="s">
        <v>4</v>
      </c>
      <c r="C1" s="2" t="s">
        <v>6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12</v>
      </c>
      <c r="I1" s="2" t="s">
        <v>10</v>
      </c>
      <c r="J1" s="2" t="s">
        <v>13</v>
      </c>
    </row>
    <row r="2" ht="15.0" customHeight="1">
      <c r="A2" s="8">
        <v>1.0</v>
      </c>
      <c r="B2" s="10" t="s">
        <v>17</v>
      </c>
      <c r="C2" s="9" t="s">
        <v>26</v>
      </c>
      <c r="D2" s="11" t="s">
        <v>20</v>
      </c>
      <c r="E2" s="9" t="s">
        <v>28</v>
      </c>
      <c r="F2" s="12" t="s">
        <v>25</v>
      </c>
      <c r="G2" s="8"/>
      <c r="H2" s="13"/>
      <c r="I2" s="9" t="s">
        <v>37</v>
      </c>
      <c r="J2" s="14" t="s">
        <v>38</v>
      </c>
    </row>
    <row r="3" ht="15.0" customHeight="1">
      <c r="A3" s="8">
        <v>2.0</v>
      </c>
      <c r="B3" s="9" t="s">
        <v>34</v>
      </c>
      <c r="C3" s="9" t="s">
        <v>26</v>
      </c>
      <c r="D3" s="11" t="s">
        <v>20</v>
      </c>
      <c r="E3" s="9" t="s">
        <v>28</v>
      </c>
      <c r="F3" s="12" t="s">
        <v>25</v>
      </c>
      <c r="G3" s="8"/>
      <c r="H3" s="13"/>
      <c r="I3" s="9" t="s">
        <v>31</v>
      </c>
      <c r="J3" s="16"/>
    </row>
    <row r="4" ht="15.0" customHeight="1">
      <c r="A4" s="8">
        <v>3.0</v>
      </c>
      <c r="B4" s="9" t="s">
        <v>39</v>
      </c>
      <c r="C4" s="9" t="s">
        <v>26</v>
      </c>
      <c r="D4" s="11" t="s">
        <v>20</v>
      </c>
      <c r="E4" s="9" t="s">
        <v>40</v>
      </c>
      <c r="F4" s="12" t="s">
        <v>25</v>
      </c>
      <c r="G4" s="8"/>
      <c r="H4" s="13"/>
      <c r="I4" s="9" t="s">
        <v>31</v>
      </c>
      <c r="J4" s="16"/>
    </row>
    <row r="5" ht="15.0" customHeight="1">
      <c r="A5" s="8">
        <v>4.0</v>
      </c>
      <c r="B5" s="10" t="s">
        <v>22</v>
      </c>
      <c r="C5" s="9" t="s">
        <v>26</v>
      </c>
      <c r="D5" s="11" t="s">
        <v>20</v>
      </c>
      <c r="E5" s="9" t="s">
        <v>28</v>
      </c>
      <c r="F5" s="12" t="s">
        <v>25</v>
      </c>
      <c r="G5" s="19" t="s">
        <v>32</v>
      </c>
      <c r="H5" s="13" t="s">
        <v>51</v>
      </c>
      <c r="I5" s="9" t="s">
        <v>37</v>
      </c>
      <c r="J5" s="14" t="s">
        <v>52</v>
      </c>
    </row>
    <row r="6" ht="15.0" customHeight="1">
      <c r="A6" s="8">
        <v>5.0</v>
      </c>
      <c r="B6" s="9" t="s">
        <v>44</v>
      </c>
      <c r="C6" s="9" t="s">
        <v>26</v>
      </c>
      <c r="D6" s="11" t="s">
        <v>20</v>
      </c>
      <c r="E6" s="9" t="s">
        <v>40</v>
      </c>
      <c r="F6" s="12" t="s">
        <v>25</v>
      </c>
      <c r="G6" s="19" t="s">
        <v>32</v>
      </c>
      <c r="H6" s="13"/>
      <c r="I6" s="9" t="s">
        <v>31</v>
      </c>
      <c r="J6" s="16"/>
    </row>
    <row r="7" ht="15.0" customHeight="1">
      <c r="A7" s="8">
        <v>6.0</v>
      </c>
      <c r="B7" s="9" t="s">
        <v>48</v>
      </c>
      <c r="C7" s="9" t="s">
        <v>26</v>
      </c>
      <c r="D7" s="18" t="s">
        <v>21</v>
      </c>
      <c r="E7" s="9" t="s">
        <v>28</v>
      </c>
      <c r="F7" s="12" t="s">
        <v>25</v>
      </c>
      <c r="G7" s="19" t="s">
        <v>32</v>
      </c>
      <c r="H7" s="13"/>
      <c r="I7" s="9" t="s">
        <v>31</v>
      </c>
      <c r="J7" s="16"/>
    </row>
    <row r="8" ht="15.0" customHeight="1">
      <c r="A8" s="8">
        <v>7.0</v>
      </c>
      <c r="B8" s="10" t="s">
        <v>53</v>
      </c>
      <c r="C8" s="9" t="s">
        <v>26</v>
      </c>
      <c r="D8" s="18" t="s">
        <v>21</v>
      </c>
      <c r="E8" s="9" t="s">
        <v>42</v>
      </c>
      <c r="F8" s="12" t="s">
        <v>25</v>
      </c>
      <c r="G8" s="19" t="s">
        <v>32</v>
      </c>
      <c r="H8" s="13"/>
      <c r="I8" s="9" t="s">
        <v>37</v>
      </c>
      <c r="J8" s="16"/>
    </row>
    <row r="9" ht="15.0" customHeight="1">
      <c r="A9" s="8">
        <v>8.0</v>
      </c>
      <c r="B9" s="9" t="s">
        <v>55</v>
      </c>
      <c r="C9" s="9" t="s">
        <v>26</v>
      </c>
      <c r="D9" s="18" t="s">
        <v>21</v>
      </c>
      <c r="E9" s="9" t="s">
        <v>57</v>
      </c>
      <c r="F9" s="12" t="s">
        <v>25</v>
      </c>
      <c r="G9" s="8"/>
      <c r="H9" s="13"/>
      <c r="I9" s="9" t="s">
        <v>31</v>
      </c>
      <c r="J9" s="16"/>
    </row>
    <row r="10" ht="15.0" customHeight="1">
      <c r="A10" s="8">
        <v>9.0</v>
      </c>
      <c r="B10" s="9" t="s">
        <v>59</v>
      </c>
      <c r="C10" s="9" t="s">
        <v>26</v>
      </c>
      <c r="D10" s="18" t="s">
        <v>21</v>
      </c>
      <c r="E10" s="9" t="s">
        <v>28</v>
      </c>
      <c r="F10" s="12" t="s">
        <v>25</v>
      </c>
      <c r="G10" s="8"/>
      <c r="H10" s="13"/>
      <c r="I10" s="9" t="s">
        <v>31</v>
      </c>
      <c r="J10" s="16"/>
    </row>
    <row r="11" ht="15.0" customHeight="1">
      <c r="A11" s="8">
        <v>10.0</v>
      </c>
      <c r="B11" s="9" t="s">
        <v>61</v>
      </c>
      <c r="C11" s="9" t="s">
        <v>26</v>
      </c>
      <c r="D11" s="18" t="s">
        <v>21</v>
      </c>
      <c r="E11" s="9" t="s">
        <v>40</v>
      </c>
      <c r="F11" s="12" t="s">
        <v>25</v>
      </c>
      <c r="G11" s="8"/>
      <c r="H11" s="13"/>
      <c r="I11" s="9" t="s">
        <v>31</v>
      </c>
      <c r="J11" s="16"/>
    </row>
    <row r="12" ht="15.0" customHeight="1">
      <c r="A12" s="8">
        <v>11.0</v>
      </c>
      <c r="B12" s="10" t="s">
        <v>63</v>
      </c>
      <c r="C12" s="9" t="s">
        <v>26</v>
      </c>
      <c r="D12" s="18" t="s">
        <v>21</v>
      </c>
      <c r="E12" s="9" t="s">
        <v>57</v>
      </c>
      <c r="F12" s="12" t="s">
        <v>25</v>
      </c>
      <c r="G12" s="19" t="s">
        <v>32</v>
      </c>
      <c r="H12" s="13"/>
      <c r="I12" s="9" t="s">
        <v>37</v>
      </c>
      <c r="J12" s="20" t="s">
        <v>81</v>
      </c>
    </row>
    <row r="13" ht="15.0" customHeight="1">
      <c r="A13" s="8">
        <v>12.0</v>
      </c>
      <c r="B13" s="9" t="s">
        <v>68</v>
      </c>
      <c r="C13" s="9" t="s">
        <v>26</v>
      </c>
      <c r="D13" s="18" t="s">
        <v>21</v>
      </c>
      <c r="E13" s="9" t="s">
        <v>40</v>
      </c>
      <c r="F13" s="12" t="s">
        <v>25</v>
      </c>
      <c r="G13" s="8"/>
      <c r="H13" s="13"/>
      <c r="I13" s="9" t="s">
        <v>31</v>
      </c>
      <c r="J13" s="16"/>
    </row>
    <row r="14" ht="15.0" customHeight="1">
      <c r="A14" s="8">
        <v>13.0</v>
      </c>
      <c r="B14" s="9" t="s">
        <v>70</v>
      </c>
      <c r="C14" s="9" t="s">
        <v>26</v>
      </c>
      <c r="D14" s="18" t="s">
        <v>21</v>
      </c>
      <c r="E14" s="9" t="s">
        <v>71</v>
      </c>
      <c r="F14" s="12" t="s">
        <v>25</v>
      </c>
      <c r="G14" s="8"/>
      <c r="H14" s="13" t="s">
        <v>88</v>
      </c>
      <c r="I14" s="9" t="s">
        <v>31</v>
      </c>
      <c r="J14" s="16"/>
    </row>
    <row r="15" ht="15.0" customHeight="1">
      <c r="A15" s="22">
        <v>14.0</v>
      </c>
      <c r="B15" s="10" t="s">
        <v>77</v>
      </c>
      <c r="C15" s="24" t="s">
        <v>46</v>
      </c>
      <c r="D15" s="11" t="s">
        <v>20</v>
      </c>
      <c r="E15" s="24" t="s">
        <v>42</v>
      </c>
      <c r="F15" s="25" t="s">
        <v>25</v>
      </c>
      <c r="G15" s="19" t="s">
        <v>32</v>
      </c>
      <c r="H15" s="26"/>
      <c r="I15" s="9" t="s">
        <v>37</v>
      </c>
      <c r="J15" s="27" t="s">
        <v>98</v>
      </c>
    </row>
    <row r="16" ht="15.0" customHeight="1">
      <c r="A16" s="22">
        <v>15.0</v>
      </c>
      <c r="B16" s="24" t="s">
        <v>83</v>
      </c>
      <c r="C16" s="24" t="s">
        <v>46</v>
      </c>
      <c r="D16" s="11" t="s">
        <v>20</v>
      </c>
      <c r="E16" s="24" t="s">
        <v>57</v>
      </c>
      <c r="F16" s="25" t="s">
        <v>25</v>
      </c>
      <c r="G16" s="22"/>
      <c r="H16" s="26"/>
      <c r="I16" s="9" t="s">
        <v>31</v>
      </c>
      <c r="J16" s="28"/>
    </row>
    <row r="17" ht="15.0" customHeight="1">
      <c r="A17" s="22">
        <v>16.0</v>
      </c>
      <c r="B17" s="24" t="s">
        <v>85</v>
      </c>
      <c r="C17" s="24" t="s">
        <v>46</v>
      </c>
      <c r="D17" s="21" t="s">
        <v>23</v>
      </c>
      <c r="E17" s="24" t="s">
        <v>57</v>
      </c>
      <c r="F17" s="25" t="s">
        <v>25</v>
      </c>
      <c r="G17" s="22"/>
      <c r="H17" s="26"/>
      <c r="I17" s="9" t="s">
        <v>31</v>
      </c>
      <c r="J17" s="28"/>
    </row>
    <row r="18" ht="15.0" customHeight="1">
      <c r="A18" s="22">
        <v>17.0</v>
      </c>
      <c r="B18" s="24" t="s">
        <v>91</v>
      </c>
      <c r="C18" s="24" t="s">
        <v>46</v>
      </c>
      <c r="D18" s="23" t="s">
        <v>24</v>
      </c>
      <c r="E18" s="24" t="s">
        <v>57</v>
      </c>
      <c r="F18" s="25" t="s">
        <v>25</v>
      </c>
      <c r="G18" s="22"/>
      <c r="H18" s="26"/>
      <c r="I18" s="9" t="s">
        <v>31</v>
      </c>
      <c r="J18" s="28"/>
    </row>
    <row r="19" ht="15.0" customHeight="1">
      <c r="A19" s="8">
        <v>18.0</v>
      </c>
      <c r="B19" s="9" t="s">
        <v>90</v>
      </c>
      <c r="C19" s="9" t="s">
        <v>56</v>
      </c>
      <c r="D19" s="18" t="s">
        <v>21</v>
      </c>
      <c r="E19" s="9" t="s">
        <v>42</v>
      </c>
      <c r="F19" s="12" t="s">
        <v>25</v>
      </c>
      <c r="G19" s="19" t="s">
        <v>32</v>
      </c>
      <c r="H19" s="13"/>
      <c r="I19" s="9" t="s">
        <v>31</v>
      </c>
      <c r="J19" s="16"/>
    </row>
    <row r="20" ht="15.0" customHeight="1">
      <c r="A20" s="8">
        <v>19.0</v>
      </c>
      <c r="B20" s="9" t="s">
        <v>87</v>
      </c>
      <c r="C20" s="9" t="s">
        <v>56</v>
      </c>
      <c r="D20" s="21" t="s">
        <v>23</v>
      </c>
      <c r="E20" s="9" t="s">
        <v>40</v>
      </c>
      <c r="F20" s="12" t="s">
        <v>25</v>
      </c>
      <c r="G20" s="19" t="s">
        <v>32</v>
      </c>
      <c r="H20" s="13"/>
      <c r="I20" s="9" t="s">
        <v>31</v>
      </c>
      <c r="J20" s="16"/>
    </row>
    <row r="21" ht="15.0" customHeight="1">
      <c r="A21" s="8">
        <v>20.0</v>
      </c>
      <c r="B21" s="9" t="s">
        <v>103</v>
      </c>
      <c r="C21" s="9" t="s">
        <v>56</v>
      </c>
      <c r="D21" s="21" t="s">
        <v>23</v>
      </c>
      <c r="E21" s="9" t="s">
        <v>28</v>
      </c>
      <c r="F21" s="12" t="s">
        <v>25</v>
      </c>
      <c r="G21" s="8"/>
      <c r="H21" s="13"/>
      <c r="I21" s="9" t="s">
        <v>31</v>
      </c>
      <c r="J21" s="16"/>
    </row>
    <row r="22" ht="15.0" customHeight="1">
      <c r="A22" s="8">
        <v>21.0</v>
      </c>
      <c r="B22" s="9" t="s">
        <v>93</v>
      </c>
      <c r="C22" s="9" t="s">
        <v>56</v>
      </c>
      <c r="D22" s="23" t="s">
        <v>24</v>
      </c>
      <c r="E22" s="9" t="s">
        <v>40</v>
      </c>
      <c r="F22" s="12" t="s">
        <v>25</v>
      </c>
      <c r="G22" s="19" t="s">
        <v>32</v>
      </c>
      <c r="H22" s="13"/>
      <c r="I22" s="9" t="s">
        <v>31</v>
      </c>
      <c r="J22" s="16"/>
    </row>
    <row r="23" ht="15.0" customHeight="1">
      <c r="A23" s="22">
        <v>22.0</v>
      </c>
      <c r="B23" s="24" t="s">
        <v>69</v>
      </c>
      <c r="C23" s="24" t="s">
        <v>65</v>
      </c>
      <c r="D23" s="11" t="s">
        <v>20</v>
      </c>
      <c r="E23" s="24" t="s">
        <v>42</v>
      </c>
      <c r="F23" s="25" t="s">
        <v>25</v>
      </c>
      <c r="G23" s="19" t="s">
        <v>32</v>
      </c>
      <c r="H23" s="26"/>
      <c r="I23" s="9" t="s">
        <v>31</v>
      </c>
      <c r="J23" s="28"/>
    </row>
    <row r="24" ht="15.0" customHeight="1">
      <c r="A24" s="22">
        <v>23.0</v>
      </c>
      <c r="B24" s="24" t="s">
        <v>62</v>
      </c>
      <c r="C24" s="24" t="s">
        <v>65</v>
      </c>
      <c r="D24" s="18" t="s">
        <v>21</v>
      </c>
      <c r="E24" s="24" t="s">
        <v>42</v>
      </c>
      <c r="F24" s="25" t="s">
        <v>25</v>
      </c>
      <c r="G24" s="19" t="s">
        <v>32</v>
      </c>
      <c r="H24" s="26"/>
      <c r="I24" s="9" t="s">
        <v>31</v>
      </c>
      <c r="J24" s="28"/>
    </row>
    <row r="25" ht="15.0" customHeight="1">
      <c r="A25" s="22">
        <v>24.0</v>
      </c>
      <c r="B25" s="24" t="s">
        <v>64</v>
      </c>
      <c r="C25" s="24" t="s">
        <v>65</v>
      </c>
      <c r="D25" s="18" t="s">
        <v>21</v>
      </c>
      <c r="E25" s="24" t="s">
        <v>28</v>
      </c>
      <c r="F25" s="25" t="s">
        <v>25</v>
      </c>
      <c r="G25" s="19" t="s">
        <v>32</v>
      </c>
      <c r="H25" s="26"/>
      <c r="I25" s="9" t="s">
        <v>31</v>
      </c>
      <c r="J25" s="28"/>
    </row>
    <row r="26" ht="15.0" customHeight="1">
      <c r="A26" s="22">
        <v>25.0</v>
      </c>
      <c r="B26" s="24" t="s">
        <v>67</v>
      </c>
      <c r="C26" s="24" t="s">
        <v>65</v>
      </c>
      <c r="D26" s="18" t="s">
        <v>21</v>
      </c>
      <c r="E26" s="24" t="s">
        <v>42</v>
      </c>
      <c r="F26" s="25" t="s">
        <v>25</v>
      </c>
      <c r="G26" s="19" t="s">
        <v>32</v>
      </c>
      <c r="H26" s="26"/>
      <c r="I26" s="9" t="s">
        <v>31</v>
      </c>
      <c r="J26" s="28"/>
    </row>
    <row r="27" ht="15.0" customHeight="1">
      <c r="A27" s="22">
        <v>26.0</v>
      </c>
      <c r="B27" s="24" t="s">
        <v>72</v>
      </c>
      <c r="C27" s="24" t="s">
        <v>65</v>
      </c>
      <c r="D27" s="21" t="s">
        <v>23</v>
      </c>
      <c r="E27" s="24" t="s">
        <v>118</v>
      </c>
      <c r="F27" s="25" t="s">
        <v>25</v>
      </c>
      <c r="G27" s="19" t="s">
        <v>32</v>
      </c>
      <c r="H27" s="26" t="s">
        <v>109</v>
      </c>
      <c r="I27" s="9" t="s">
        <v>31</v>
      </c>
      <c r="J27" s="28"/>
    </row>
    <row r="28" ht="15.0" customHeight="1">
      <c r="A28" s="22">
        <v>27.0</v>
      </c>
      <c r="B28" s="24" t="s">
        <v>122</v>
      </c>
      <c r="C28" s="24" t="s">
        <v>65</v>
      </c>
      <c r="D28" s="23" t="s">
        <v>24</v>
      </c>
      <c r="E28" s="24" t="s">
        <v>28</v>
      </c>
      <c r="F28" s="25" t="s">
        <v>25</v>
      </c>
      <c r="G28" s="22"/>
      <c r="H28" s="26"/>
      <c r="I28" s="9" t="s">
        <v>31</v>
      </c>
      <c r="J28" s="28"/>
    </row>
    <row r="29" ht="15.0" customHeight="1">
      <c r="A29" s="8">
        <v>28.0</v>
      </c>
      <c r="B29" s="9" t="s">
        <v>127</v>
      </c>
      <c r="C29" s="9" t="s">
        <v>82</v>
      </c>
      <c r="D29" s="11" t="s">
        <v>20</v>
      </c>
      <c r="E29" s="9" t="s">
        <v>57</v>
      </c>
      <c r="F29" s="12" t="s">
        <v>25</v>
      </c>
      <c r="G29" s="8"/>
      <c r="H29" s="13"/>
      <c r="I29" s="9" t="s">
        <v>31</v>
      </c>
      <c r="J29" s="16"/>
    </row>
    <row r="30" ht="15.0" customHeight="1">
      <c r="A30" s="8">
        <v>29.0</v>
      </c>
      <c r="B30" s="9" t="s">
        <v>130</v>
      </c>
      <c r="C30" s="9" t="s">
        <v>82</v>
      </c>
      <c r="D30" s="18" t="s">
        <v>21</v>
      </c>
      <c r="E30" s="9" t="s">
        <v>57</v>
      </c>
      <c r="F30" s="12" t="s">
        <v>25</v>
      </c>
      <c r="G30" s="8"/>
      <c r="H30" s="13"/>
      <c r="I30" s="9" t="s">
        <v>31</v>
      </c>
      <c r="J30" s="16"/>
    </row>
    <row r="31" ht="15.0" customHeight="1">
      <c r="A31" s="8">
        <v>30.0</v>
      </c>
      <c r="B31" s="9" t="s">
        <v>113</v>
      </c>
      <c r="C31" s="9" t="s">
        <v>82</v>
      </c>
      <c r="D31" s="21" t="s">
        <v>23</v>
      </c>
      <c r="E31" s="9" t="s">
        <v>57</v>
      </c>
      <c r="F31" s="12" t="s">
        <v>25</v>
      </c>
      <c r="G31" s="19" t="s">
        <v>32</v>
      </c>
      <c r="H31" s="13"/>
      <c r="I31" s="9" t="s">
        <v>31</v>
      </c>
      <c r="J31" s="16"/>
    </row>
    <row r="32" ht="15.0" customHeight="1">
      <c r="A32" s="8">
        <v>31.0</v>
      </c>
      <c r="B32" s="9" t="s">
        <v>112</v>
      </c>
      <c r="C32" s="9" t="s">
        <v>82</v>
      </c>
      <c r="D32" s="21" t="s">
        <v>23</v>
      </c>
      <c r="E32" s="9" t="s">
        <v>57</v>
      </c>
      <c r="F32" s="12" t="s">
        <v>25</v>
      </c>
      <c r="G32" s="19" t="s">
        <v>32</v>
      </c>
      <c r="H32" s="13"/>
      <c r="I32" s="9" t="s">
        <v>31</v>
      </c>
      <c r="J32" s="16"/>
    </row>
    <row r="33" ht="15.0" customHeight="1">
      <c r="A33" s="8">
        <v>32.0</v>
      </c>
      <c r="B33" s="9" t="s">
        <v>138</v>
      </c>
      <c r="C33" s="9" t="s">
        <v>82</v>
      </c>
      <c r="D33" s="21" t="s">
        <v>23</v>
      </c>
      <c r="E33" s="9" t="s">
        <v>57</v>
      </c>
      <c r="F33" s="12" t="s">
        <v>25</v>
      </c>
      <c r="G33" s="8"/>
      <c r="H33" s="13"/>
      <c r="I33" s="9" t="s">
        <v>31</v>
      </c>
      <c r="J33" s="16"/>
    </row>
    <row r="34" ht="15.0" customHeight="1">
      <c r="A34" s="8">
        <v>33.0</v>
      </c>
      <c r="B34" s="9" t="s">
        <v>140</v>
      </c>
      <c r="C34" s="9" t="s">
        <v>82</v>
      </c>
      <c r="D34" s="23" t="s">
        <v>24</v>
      </c>
      <c r="E34" s="9" t="s">
        <v>57</v>
      </c>
      <c r="F34" s="12" t="s">
        <v>25</v>
      </c>
      <c r="G34" s="8"/>
      <c r="H34" s="13"/>
      <c r="I34" s="9" t="s">
        <v>31</v>
      </c>
      <c r="J34" s="16"/>
    </row>
    <row r="35" ht="15.0" customHeight="1">
      <c r="A35" s="8">
        <v>34.0</v>
      </c>
      <c r="B35" s="9" t="s">
        <v>116</v>
      </c>
      <c r="C35" s="9" t="s">
        <v>82</v>
      </c>
      <c r="D35" s="23" t="s">
        <v>24</v>
      </c>
      <c r="E35" s="9" t="s">
        <v>57</v>
      </c>
      <c r="F35" s="12" t="s">
        <v>25</v>
      </c>
      <c r="G35" s="19" t="s">
        <v>32</v>
      </c>
      <c r="H35" s="13"/>
      <c r="I35" s="9" t="s">
        <v>31</v>
      </c>
      <c r="J35" s="16"/>
    </row>
    <row r="36" ht="15.0" customHeight="1">
      <c r="A36" s="8">
        <v>35.0</v>
      </c>
      <c r="B36" s="9" t="s">
        <v>146</v>
      </c>
      <c r="C36" s="9" t="s">
        <v>82</v>
      </c>
      <c r="D36" s="23" t="s">
        <v>24</v>
      </c>
      <c r="E36" s="9" t="s">
        <v>57</v>
      </c>
      <c r="F36" s="12" t="s">
        <v>25</v>
      </c>
      <c r="G36" s="8"/>
      <c r="H36" s="13"/>
      <c r="I36" s="9" t="s">
        <v>31</v>
      </c>
      <c r="J36" s="16"/>
    </row>
    <row r="37" ht="15.0" customHeight="1">
      <c r="A37" s="22">
        <v>36.0</v>
      </c>
      <c r="B37" s="24" t="s">
        <v>151</v>
      </c>
      <c r="C37" s="24" t="s">
        <v>92</v>
      </c>
      <c r="D37" s="21" t="s">
        <v>23</v>
      </c>
      <c r="E37" s="24" t="s">
        <v>118</v>
      </c>
      <c r="F37" s="25" t="s">
        <v>25</v>
      </c>
      <c r="G37" s="19" t="s">
        <v>32</v>
      </c>
      <c r="H37" s="26"/>
      <c r="I37" s="9" t="s">
        <v>31</v>
      </c>
      <c r="J37" s="28"/>
    </row>
    <row r="38" ht="15.0" customHeight="1">
      <c r="A38" s="8">
        <v>37.0</v>
      </c>
      <c r="B38" s="9" t="s">
        <v>120</v>
      </c>
      <c r="C38" s="9" t="s">
        <v>100</v>
      </c>
      <c r="D38" s="23" t="s">
        <v>24</v>
      </c>
      <c r="E38" s="9" t="s">
        <v>118</v>
      </c>
      <c r="F38" s="12" t="s">
        <v>25</v>
      </c>
      <c r="G38" s="19" t="s">
        <v>32</v>
      </c>
      <c r="H38" s="13"/>
      <c r="I38" s="9" t="s">
        <v>31</v>
      </c>
      <c r="J38" s="16"/>
    </row>
    <row r="39" ht="15.0" customHeight="1">
      <c r="A39" s="22">
        <v>38.0</v>
      </c>
      <c r="B39" s="29" t="s">
        <v>159</v>
      </c>
      <c r="C39" s="24" t="s">
        <v>109</v>
      </c>
      <c r="D39" s="18" t="s">
        <v>21</v>
      </c>
      <c r="E39" s="24" t="s">
        <v>160</v>
      </c>
      <c r="F39" s="25" t="s">
        <v>25</v>
      </c>
      <c r="G39" s="22"/>
      <c r="H39" s="26"/>
      <c r="I39" s="9" t="s">
        <v>31</v>
      </c>
      <c r="J39" s="28" t="s">
        <v>202</v>
      </c>
    </row>
    <row r="40" ht="15.0" customHeight="1">
      <c r="A40" s="22">
        <v>39.0</v>
      </c>
      <c r="B40" s="24" t="s">
        <v>43</v>
      </c>
      <c r="C40" s="24" t="s">
        <v>109</v>
      </c>
      <c r="D40" s="18" t="s">
        <v>21</v>
      </c>
      <c r="E40" s="24" t="s">
        <v>42</v>
      </c>
      <c r="F40" s="25" t="s">
        <v>25</v>
      </c>
      <c r="G40" s="19" t="s">
        <v>32</v>
      </c>
      <c r="H40" s="26"/>
      <c r="I40" s="9" t="s">
        <v>31</v>
      </c>
      <c r="J40" s="28"/>
    </row>
    <row r="41" ht="15.0" customHeight="1">
      <c r="A41" s="8">
        <v>40.0</v>
      </c>
      <c r="B41" s="9" t="s">
        <v>166</v>
      </c>
      <c r="C41" s="9" t="s">
        <v>115</v>
      </c>
      <c r="D41" s="11" t="s">
        <v>20</v>
      </c>
      <c r="E41" s="9" t="s">
        <v>160</v>
      </c>
      <c r="F41" s="12" t="s">
        <v>25</v>
      </c>
      <c r="G41" s="8"/>
      <c r="H41" s="13"/>
      <c r="I41" s="9" t="s">
        <v>31</v>
      </c>
      <c r="J41" s="16"/>
    </row>
    <row r="42" ht="15.0" customHeight="1">
      <c r="A42" s="8">
        <v>41.0</v>
      </c>
      <c r="B42" s="9" t="s">
        <v>169</v>
      </c>
      <c r="C42" s="9" t="s">
        <v>115</v>
      </c>
      <c r="D42" s="11" t="s">
        <v>20</v>
      </c>
      <c r="E42" s="9" t="s">
        <v>170</v>
      </c>
      <c r="F42" s="12" t="s">
        <v>25</v>
      </c>
      <c r="G42" s="8"/>
      <c r="H42" s="13"/>
      <c r="I42" s="9" t="s">
        <v>31</v>
      </c>
      <c r="J42" s="16"/>
    </row>
    <row r="43" ht="15.0" customHeight="1">
      <c r="A43" s="8">
        <v>42.0</v>
      </c>
      <c r="B43" s="9" t="s">
        <v>107</v>
      </c>
      <c r="C43" s="9" t="s">
        <v>115</v>
      </c>
      <c r="D43" s="18" t="s">
        <v>21</v>
      </c>
      <c r="E43" s="9" t="s">
        <v>42</v>
      </c>
      <c r="F43" s="12" t="s">
        <v>25</v>
      </c>
      <c r="G43" s="19" t="s">
        <v>32</v>
      </c>
      <c r="H43" s="13"/>
      <c r="I43" s="9" t="s">
        <v>31</v>
      </c>
      <c r="J43" s="16"/>
    </row>
    <row r="44" ht="15.0" customHeight="1">
      <c r="A44" s="8">
        <v>43.0</v>
      </c>
      <c r="B44" s="9" t="s">
        <v>176</v>
      </c>
      <c r="C44" s="9" t="s">
        <v>115</v>
      </c>
      <c r="D44" s="21" t="s">
        <v>23</v>
      </c>
      <c r="E44" s="9" t="s">
        <v>160</v>
      </c>
      <c r="F44" s="12" t="s">
        <v>25</v>
      </c>
      <c r="G44" s="8"/>
      <c r="H44" s="13"/>
      <c r="I44" s="9" t="s">
        <v>31</v>
      </c>
      <c r="J44" s="16"/>
    </row>
    <row r="45" ht="15.0" customHeight="1">
      <c r="A45" s="8">
        <v>44.0</v>
      </c>
      <c r="B45" s="9" t="s">
        <v>178</v>
      </c>
      <c r="C45" s="9" t="s">
        <v>115</v>
      </c>
      <c r="D45" s="21" t="s">
        <v>23</v>
      </c>
      <c r="E45" s="9" t="s">
        <v>160</v>
      </c>
      <c r="F45" s="12" t="s">
        <v>25</v>
      </c>
      <c r="G45" s="8"/>
      <c r="H45" s="13"/>
      <c r="I45" s="9" t="s">
        <v>31</v>
      </c>
      <c r="J45" s="16"/>
    </row>
    <row r="46" ht="15.0" customHeight="1">
      <c r="A46" s="8">
        <v>45.0</v>
      </c>
      <c r="B46" s="9" t="s">
        <v>110</v>
      </c>
      <c r="C46" s="9" t="s">
        <v>115</v>
      </c>
      <c r="D46" s="21" t="s">
        <v>23</v>
      </c>
      <c r="E46" s="9" t="s">
        <v>160</v>
      </c>
      <c r="F46" s="12" t="s">
        <v>25</v>
      </c>
      <c r="G46" s="19" t="s">
        <v>32</v>
      </c>
      <c r="H46" s="13"/>
      <c r="I46" s="9" t="s">
        <v>31</v>
      </c>
      <c r="J46" s="16"/>
    </row>
    <row r="47" ht="15.0" customHeight="1">
      <c r="A47" s="8">
        <v>46.0</v>
      </c>
      <c r="B47" s="9" t="s">
        <v>182</v>
      </c>
      <c r="C47" s="9" t="s">
        <v>115</v>
      </c>
      <c r="D47" s="23" t="s">
        <v>24</v>
      </c>
      <c r="E47" s="9" t="s">
        <v>160</v>
      </c>
      <c r="F47" s="12" t="s">
        <v>25</v>
      </c>
      <c r="G47" s="8"/>
      <c r="H47" s="13"/>
      <c r="I47" s="9" t="s">
        <v>31</v>
      </c>
      <c r="J47" s="16"/>
    </row>
    <row r="48" ht="15.0" customHeight="1">
      <c r="A48" s="8">
        <v>47.0</v>
      </c>
      <c r="B48" s="9" t="s">
        <v>186</v>
      </c>
      <c r="C48" s="9" t="s">
        <v>115</v>
      </c>
      <c r="D48" s="23" t="s">
        <v>24</v>
      </c>
      <c r="E48" s="9" t="s">
        <v>160</v>
      </c>
      <c r="F48" s="12" t="s">
        <v>25</v>
      </c>
      <c r="G48" s="8"/>
      <c r="H48" s="13"/>
      <c r="I48" s="9" t="s">
        <v>31</v>
      </c>
      <c r="J48" s="16"/>
    </row>
    <row r="49" ht="15.0" customHeight="1">
      <c r="A49" s="22">
        <v>48.0</v>
      </c>
      <c r="B49" s="24" t="s">
        <v>189</v>
      </c>
      <c r="C49" s="24" t="s">
        <v>121</v>
      </c>
      <c r="D49" s="18" t="s">
        <v>21</v>
      </c>
      <c r="E49" s="24" t="s">
        <v>191</v>
      </c>
      <c r="F49" s="25" t="s">
        <v>25</v>
      </c>
      <c r="G49" s="22"/>
      <c r="H49" s="26" t="s">
        <v>144</v>
      </c>
      <c r="I49" s="9" t="s">
        <v>31</v>
      </c>
      <c r="J49" s="28"/>
    </row>
    <row r="50" ht="15.0" customHeight="1">
      <c r="A50" s="22">
        <v>49.0</v>
      </c>
      <c r="B50" s="24" t="s">
        <v>121</v>
      </c>
      <c r="C50" s="24" t="s">
        <v>121</v>
      </c>
      <c r="D50" s="18" t="s">
        <v>21</v>
      </c>
      <c r="E50" s="24" t="s">
        <v>191</v>
      </c>
      <c r="F50" s="25" t="s">
        <v>25</v>
      </c>
      <c r="G50" s="22"/>
      <c r="H50" s="26"/>
      <c r="I50" s="9" t="s">
        <v>31</v>
      </c>
      <c r="J50" s="28"/>
    </row>
    <row r="51" ht="15.0" customHeight="1">
      <c r="A51" s="8">
        <v>50.0</v>
      </c>
      <c r="B51" s="9" t="s">
        <v>198</v>
      </c>
      <c r="C51" s="9" t="s">
        <v>134</v>
      </c>
      <c r="D51" s="18" t="s">
        <v>21</v>
      </c>
      <c r="E51" s="9" t="s">
        <v>200</v>
      </c>
      <c r="F51" s="12" t="s">
        <v>25</v>
      </c>
      <c r="G51" s="8"/>
      <c r="H51" s="13" t="s">
        <v>26</v>
      </c>
      <c r="I51" s="9" t="s">
        <v>31</v>
      </c>
      <c r="J51" s="16"/>
    </row>
    <row r="52" ht="15.0" customHeight="1">
      <c r="A52" s="8">
        <v>51.0</v>
      </c>
      <c r="B52" s="9" t="s">
        <v>204</v>
      </c>
      <c r="C52" s="9" t="s">
        <v>134</v>
      </c>
      <c r="D52" s="18" t="s">
        <v>21</v>
      </c>
      <c r="E52" s="9" t="s">
        <v>200</v>
      </c>
      <c r="F52" s="12" t="s">
        <v>25</v>
      </c>
      <c r="G52" s="8"/>
      <c r="H52" s="13"/>
      <c r="I52" s="9" t="s">
        <v>31</v>
      </c>
      <c r="J52" s="16"/>
    </row>
    <row r="53" ht="15.0" customHeight="1">
      <c r="A53" s="8">
        <v>52.0</v>
      </c>
      <c r="B53" s="9" t="s">
        <v>206</v>
      </c>
      <c r="C53" s="9" t="s">
        <v>134</v>
      </c>
      <c r="D53" s="18" t="s">
        <v>21</v>
      </c>
      <c r="E53" s="9" t="s">
        <v>42</v>
      </c>
      <c r="F53" s="12" t="s">
        <v>25</v>
      </c>
      <c r="G53" s="19" t="s">
        <v>32</v>
      </c>
      <c r="H53" s="13"/>
      <c r="I53" s="9" t="s">
        <v>31</v>
      </c>
      <c r="J53" s="16"/>
    </row>
    <row r="54" ht="15.0" customHeight="1">
      <c r="A54" s="8">
        <v>53.0</v>
      </c>
      <c r="B54" s="9" t="s">
        <v>209</v>
      </c>
      <c r="C54" s="9" t="s">
        <v>134</v>
      </c>
      <c r="D54" s="21" t="s">
        <v>23</v>
      </c>
      <c r="E54" s="9" t="s">
        <v>28</v>
      </c>
      <c r="F54" s="12" t="s">
        <v>25</v>
      </c>
      <c r="G54" s="8"/>
      <c r="H54" s="13"/>
      <c r="I54" s="9" t="s">
        <v>31</v>
      </c>
      <c r="J54" s="16"/>
    </row>
    <row r="55" ht="15.0" customHeight="1">
      <c r="A55" s="22">
        <v>54.0</v>
      </c>
      <c r="B55" s="24" t="s">
        <v>60</v>
      </c>
      <c r="C55" s="24" t="s">
        <v>144</v>
      </c>
      <c r="D55" s="18" t="s">
        <v>21</v>
      </c>
      <c r="E55" s="24" t="s">
        <v>42</v>
      </c>
      <c r="F55" s="25" t="s">
        <v>25</v>
      </c>
      <c r="G55" s="19" t="s">
        <v>32</v>
      </c>
      <c r="H55" s="26"/>
      <c r="I55" s="9" t="s">
        <v>31</v>
      </c>
      <c r="J55" s="28"/>
    </row>
    <row r="56" ht="15.0" customHeight="1">
      <c r="A56" s="22">
        <v>55.0</v>
      </c>
      <c r="B56" s="24" t="s">
        <v>216</v>
      </c>
      <c r="C56" s="24" t="s">
        <v>144</v>
      </c>
      <c r="D56" s="18" t="s">
        <v>21</v>
      </c>
      <c r="E56" s="24" t="s">
        <v>191</v>
      </c>
      <c r="F56" s="25" t="s">
        <v>25</v>
      </c>
      <c r="G56" s="22"/>
      <c r="H56" s="26" t="s">
        <v>121</v>
      </c>
      <c r="I56" s="9" t="s">
        <v>31</v>
      </c>
      <c r="J56" s="28"/>
    </row>
    <row r="57" ht="15.0" customHeight="1">
      <c r="A57" s="22">
        <v>56.0</v>
      </c>
      <c r="B57" s="24" t="s">
        <v>218</v>
      </c>
      <c r="C57" s="24" t="s">
        <v>144</v>
      </c>
      <c r="D57" s="18" t="s">
        <v>21</v>
      </c>
      <c r="E57" s="24" t="s">
        <v>40</v>
      </c>
      <c r="F57" s="25" t="s">
        <v>25</v>
      </c>
      <c r="G57" s="22"/>
      <c r="H57" s="26"/>
      <c r="I57" s="9" t="s">
        <v>31</v>
      </c>
      <c r="J57" s="28"/>
    </row>
    <row r="58" ht="15.0" customHeight="1">
      <c r="A58" s="22">
        <v>57.0</v>
      </c>
      <c r="B58" s="24" t="s">
        <v>158</v>
      </c>
      <c r="C58" s="24" t="s">
        <v>144</v>
      </c>
      <c r="D58" s="18" t="s">
        <v>21</v>
      </c>
      <c r="E58" s="24" t="s">
        <v>42</v>
      </c>
      <c r="F58" s="25" t="s">
        <v>25</v>
      </c>
      <c r="G58" s="19" t="s">
        <v>32</v>
      </c>
      <c r="H58" s="26"/>
      <c r="I58" s="9" t="s">
        <v>31</v>
      </c>
      <c r="J58" s="28"/>
    </row>
    <row r="59" ht="15.0" customHeight="1">
      <c r="A59" s="22">
        <v>58.0</v>
      </c>
      <c r="B59" s="24" t="s">
        <v>223</v>
      </c>
      <c r="C59" s="24" t="s">
        <v>144</v>
      </c>
      <c r="D59" s="21" t="s">
        <v>23</v>
      </c>
      <c r="E59" s="24" t="s">
        <v>191</v>
      </c>
      <c r="F59" s="25" t="s">
        <v>25</v>
      </c>
      <c r="G59" s="22"/>
      <c r="H59" s="26"/>
      <c r="I59" s="9" t="s">
        <v>31</v>
      </c>
      <c r="J59" s="28"/>
    </row>
    <row r="60" ht="15.0" customHeight="1">
      <c r="A60" s="22">
        <v>59.0</v>
      </c>
      <c r="B60" s="24" t="s">
        <v>224</v>
      </c>
      <c r="C60" s="24" t="s">
        <v>144</v>
      </c>
      <c r="D60" s="21" t="s">
        <v>23</v>
      </c>
      <c r="E60" s="24" t="s">
        <v>191</v>
      </c>
      <c r="F60" s="25" t="s">
        <v>25</v>
      </c>
      <c r="G60" s="22"/>
      <c r="H60" s="26"/>
      <c r="I60" s="9" t="s">
        <v>31</v>
      </c>
      <c r="J60" s="28"/>
    </row>
    <row r="61" ht="15.0" customHeight="1">
      <c r="A61" s="22">
        <v>60.0</v>
      </c>
      <c r="B61" s="24" t="s">
        <v>152</v>
      </c>
      <c r="C61" s="24" t="s">
        <v>144</v>
      </c>
      <c r="D61" s="21" t="s">
        <v>23</v>
      </c>
      <c r="E61" s="24" t="s">
        <v>201</v>
      </c>
      <c r="F61" s="25" t="s">
        <v>25</v>
      </c>
      <c r="G61" s="19" t="s">
        <v>32</v>
      </c>
      <c r="H61" s="26" t="s">
        <v>221</v>
      </c>
      <c r="I61" s="9" t="s">
        <v>31</v>
      </c>
      <c r="J61" s="28"/>
    </row>
    <row r="62" ht="15.0" customHeight="1">
      <c r="A62" s="22">
        <v>61.0</v>
      </c>
      <c r="B62" s="24" t="s">
        <v>225</v>
      </c>
      <c r="C62" s="24" t="s">
        <v>144</v>
      </c>
      <c r="D62" s="23" t="s">
        <v>24</v>
      </c>
      <c r="E62" s="24" t="s">
        <v>191</v>
      </c>
      <c r="F62" s="25" t="s">
        <v>25</v>
      </c>
      <c r="G62" s="22"/>
      <c r="H62" s="26"/>
      <c r="I62" s="9" t="s">
        <v>31</v>
      </c>
      <c r="J62" s="28"/>
    </row>
    <row r="63" ht="15.0" customHeight="1">
      <c r="A63" s="8">
        <v>62.0</v>
      </c>
      <c r="B63" s="9" t="s">
        <v>228</v>
      </c>
      <c r="C63" s="9" t="s">
        <v>155</v>
      </c>
      <c r="D63" s="11" t="s">
        <v>20</v>
      </c>
      <c r="E63" s="9" t="s">
        <v>191</v>
      </c>
      <c r="F63" s="12" t="s">
        <v>25</v>
      </c>
      <c r="G63" s="8"/>
      <c r="H63" s="13"/>
      <c r="I63" s="9" t="s">
        <v>31</v>
      </c>
      <c r="J63" s="16"/>
    </row>
    <row r="64" ht="15.0" customHeight="1">
      <c r="A64" s="8">
        <v>63.0</v>
      </c>
      <c r="B64" s="9" t="s">
        <v>179</v>
      </c>
      <c r="C64" s="9" t="s">
        <v>155</v>
      </c>
      <c r="D64" s="18" t="s">
        <v>21</v>
      </c>
      <c r="E64" s="9" t="s">
        <v>191</v>
      </c>
      <c r="F64" s="12" t="s">
        <v>25</v>
      </c>
      <c r="G64" s="19" t="s">
        <v>32</v>
      </c>
      <c r="H64" s="13"/>
      <c r="I64" s="9" t="s">
        <v>31</v>
      </c>
      <c r="J64" s="16"/>
    </row>
    <row r="65" ht="15.0" customHeight="1">
      <c r="A65" s="8">
        <v>64.0</v>
      </c>
      <c r="B65" s="9" t="s">
        <v>190</v>
      </c>
      <c r="C65" s="9" t="s">
        <v>155</v>
      </c>
      <c r="D65" s="18" t="s">
        <v>21</v>
      </c>
      <c r="E65" s="9" t="s">
        <v>155</v>
      </c>
      <c r="F65" s="12" t="s">
        <v>25</v>
      </c>
      <c r="G65" s="19" t="s">
        <v>32</v>
      </c>
      <c r="H65" s="13"/>
      <c r="I65" s="9" t="s">
        <v>31</v>
      </c>
      <c r="J65" s="16"/>
    </row>
    <row r="66" ht="15.0" customHeight="1">
      <c r="A66" s="8">
        <v>65.0</v>
      </c>
      <c r="B66" s="9" t="s">
        <v>229</v>
      </c>
      <c r="C66" s="9" t="s">
        <v>155</v>
      </c>
      <c r="D66" s="18" t="s">
        <v>21</v>
      </c>
      <c r="E66" s="9" t="s">
        <v>155</v>
      </c>
      <c r="F66" s="12" t="s">
        <v>25</v>
      </c>
      <c r="G66" s="8"/>
      <c r="H66" s="13"/>
      <c r="I66" s="9" t="s">
        <v>31</v>
      </c>
      <c r="J66" s="16"/>
    </row>
    <row r="67" ht="15.0" customHeight="1">
      <c r="A67" s="8">
        <v>66.0</v>
      </c>
      <c r="B67" s="9" t="s">
        <v>208</v>
      </c>
      <c r="C67" s="9" t="s">
        <v>155</v>
      </c>
      <c r="D67" s="18" t="s">
        <v>21</v>
      </c>
      <c r="E67" s="9" t="s">
        <v>42</v>
      </c>
      <c r="F67" s="12" t="s">
        <v>25</v>
      </c>
      <c r="G67" s="19" t="s">
        <v>32</v>
      </c>
      <c r="H67" s="13"/>
      <c r="I67" s="9" t="s">
        <v>31</v>
      </c>
      <c r="J67" s="16"/>
    </row>
    <row r="68" ht="15.0" customHeight="1">
      <c r="A68" s="8">
        <v>67.0</v>
      </c>
      <c r="B68" s="9" t="s">
        <v>187</v>
      </c>
      <c r="C68" s="9" t="s">
        <v>155</v>
      </c>
      <c r="D68" s="18" t="s">
        <v>21</v>
      </c>
      <c r="E68" s="9" t="s">
        <v>42</v>
      </c>
      <c r="F68" s="12" t="s">
        <v>25</v>
      </c>
      <c r="G68" s="19" t="s">
        <v>32</v>
      </c>
      <c r="H68" s="13"/>
      <c r="I68" s="9" t="s">
        <v>31</v>
      </c>
      <c r="J68" s="16"/>
    </row>
    <row r="69" ht="15.0" customHeight="1">
      <c r="A69" s="8">
        <v>68.0</v>
      </c>
      <c r="B69" s="9" t="s">
        <v>230</v>
      </c>
      <c r="C69" s="9" t="s">
        <v>155</v>
      </c>
      <c r="D69" s="18" t="s">
        <v>21</v>
      </c>
      <c r="E69" s="9" t="s">
        <v>155</v>
      </c>
      <c r="F69" s="12" t="s">
        <v>25</v>
      </c>
      <c r="G69" s="8"/>
      <c r="H69" s="13"/>
      <c r="I69" s="9" t="s">
        <v>31</v>
      </c>
      <c r="J69" s="16"/>
    </row>
    <row r="70" ht="15.0" customHeight="1">
      <c r="A70" s="8">
        <v>69.0</v>
      </c>
      <c r="B70" s="9" t="s">
        <v>181</v>
      </c>
      <c r="C70" s="9" t="s">
        <v>155</v>
      </c>
      <c r="D70" s="18" t="s">
        <v>21</v>
      </c>
      <c r="E70" s="9" t="s">
        <v>155</v>
      </c>
      <c r="F70" s="12" t="s">
        <v>25</v>
      </c>
      <c r="G70" s="19" t="s">
        <v>32</v>
      </c>
      <c r="H70" s="13"/>
      <c r="I70" s="9" t="s">
        <v>31</v>
      </c>
      <c r="J70" s="16"/>
    </row>
    <row r="71" ht="15.0" customHeight="1">
      <c r="A71" s="8">
        <v>70.0</v>
      </c>
      <c r="B71" s="9" t="s">
        <v>185</v>
      </c>
      <c r="C71" s="9" t="s">
        <v>155</v>
      </c>
      <c r="D71" s="18" t="s">
        <v>21</v>
      </c>
      <c r="E71" s="9" t="s">
        <v>42</v>
      </c>
      <c r="F71" s="12" t="s">
        <v>25</v>
      </c>
      <c r="G71" s="19" t="s">
        <v>32</v>
      </c>
      <c r="H71" s="13"/>
      <c r="I71" s="9" t="s">
        <v>31</v>
      </c>
      <c r="J71" s="16"/>
    </row>
    <row r="72" ht="15.0" customHeight="1">
      <c r="A72" s="8">
        <v>71.0</v>
      </c>
      <c r="B72" s="9" t="s">
        <v>96</v>
      </c>
      <c r="C72" s="9" t="s">
        <v>155</v>
      </c>
      <c r="D72" s="18" t="s">
        <v>21</v>
      </c>
      <c r="E72" s="9" t="s">
        <v>40</v>
      </c>
      <c r="F72" s="12" t="s">
        <v>25</v>
      </c>
      <c r="G72" s="19" t="s">
        <v>32</v>
      </c>
      <c r="H72" s="13" t="s">
        <v>26</v>
      </c>
      <c r="I72" s="9" t="s">
        <v>31</v>
      </c>
      <c r="J72" s="16"/>
    </row>
    <row r="73" ht="15.0" customHeight="1">
      <c r="A73" s="8">
        <v>72.0</v>
      </c>
      <c r="B73" s="9" t="s">
        <v>194</v>
      </c>
      <c r="C73" s="9" t="s">
        <v>155</v>
      </c>
      <c r="D73" s="18" t="s">
        <v>21</v>
      </c>
      <c r="E73" s="9" t="s">
        <v>42</v>
      </c>
      <c r="F73" s="12" t="s">
        <v>25</v>
      </c>
      <c r="G73" s="19" t="s">
        <v>32</v>
      </c>
      <c r="H73" s="13"/>
      <c r="I73" s="9" t="s">
        <v>31</v>
      </c>
      <c r="J73" s="16"/>
    </row>
    <row r="74" ht="15.0" customHeight="1">
      <c r="A74" s="8">
        <v>73.0</v>
      </c>
      <c r="B74" s="9" t="s">
        <v>210</v>
      </c>
      <c r="C74" s="9" t="s">
        <v>155</v>
      </c>
      <c r="D74" s="18" t="s">
        <v>21</v>
      </c>
      <c r="E74" s="9" t="s">
        <v>233</v>
      </c>
      <c r="F74" s="12" t="s">
        <v>25</v>
      </c>
      <c r="G74" s="19" t="s">
        <v>32</v>
      </c>
      <c r="H74" s="13"/>
      <c r="I74" s="9" t="s">
        <v>31</v>
      </c>
      <c r="J74" s="16"/>
    </row>
    <row r="75" ht="15.0" customHeight="1">
      <c r="A75" s="8">
        <v>74.0</v>
      </c>
      <c r="B75" s="9" t="s">
        <v>234</v>
      </c>
      <c r="C75" s="9" t="s">
        <v>155</v>
      </c>
      <c r="D75" s="18" t="s">
        <v>21</v>
      </c>
      <c r="E75" s="9" t="s">
        <v>191</v>
      </c>
      <c r="F75" s="12" t="s">
        <v>25</v>
      </c>
      <c r="G75" s="8"/>
      <c r="H75" s="13"/>
      <c r="I75" s="9" t="s">
        <v>31</v>
      </c>
      <c r="J75" s="16"/>
    </row>
    <row r="76" ht="15.0" customHeight="1">
      <c r="A76" s="8">
        <v>75.0</v>
      </c>
      <c r="B76" s="9" t="s">
        <v>97</v>
      </c>
      <c r="C76" s="9" t="s">
        <v>155</v>
      </c>
      <c r="D76" s="18" t="s">
        <v>21</v>
      </c>
      <c r="E76" s="9" t="s">
        <v>42</v>
      </c>
      <c r="F76" s="12" t="s">
        <v>25</v>
      </c>
      <c r="G76" s="19" t="s">
        <v>32</v>
      </c>
      <c r="H76" s="13"/>
      <c r="I76" s="9" t="s">
        <v>31</v>
      </c>
      <c r="J76" s="16"/>
    </row>
    <row r="77" ht="15.0" customHeight="1">
      <c r="A77" s="8">
        <v>76.0</v>
      </c>
      <c r="B77" s="9" t="s">
        <v>203</v>
      </c>
      <c r="C77" s="9" t="s">
        <v>155</v>
      </c>
      <c r="D77" s="18" t="s">
        <v>21</v>
      </c>
      <c r="E77" s="9" t="s">
        <v>155</v>
      </c>
      <c r="F77" s="12" t="s">
        <v>25</v>
      </c>
      <c r="G77" s="19" t="s">
        <v>32</v>
      </c>
      <c r="H77" s="13"/>
      <c r="I77" s="9" t="s">
        <v>31</v>
      </c>
      <c r="J77" s="16"/>
    </row>
    <row r="78" ht="15.0" customHeight="1">
      <c r="A78" s="8">
        <v>77.0</v>
      </c>
      <c r="B78" s="9" t="s">
        <v>236</v>
      </c>
      <c r="C78" s="9" t="s">
        <v>155</v>
      </c>
      <c r="D78" s="21" t="s">
        <v>23</v>
      </c>
      <c r="E78" s="9" t="s">
        <v>191</v>
      </c>
      <c r="F78" s="12" t="s">
        <v>25</v>
      </c>
      <c r="G78" s="8"/>
      <c r="H78" s="13"/>
      <c r="I78" s="9" t="s">
        <v>31</v>
      </c>
      <c r="J78" s="16"/>
    </row>
    <row r="79" ht="15.0" customHeight="1">
      <c r="A79" s="8">
        <v>78.0</v>
      </c>
      <c r="B79" s="9" t="s">
        <v>237</v>
      </c>
      <c r="C79" s="9" t="s">
        <v>155</v>
      </c>
      <c r="D79" s="21" t="s">
        <v>23</v>
      </c>
      <c r="E79" s="9" t="s">
        <v>155</v>
      </c>
      <c r="F79" s="12" t="s">
        <v>25</v>
      </c>
      <c r="G79" s="8"/>
      <c r="H79" s="13" t="s">
        <v>134</v>
      </c>
      <c r="I79" s="9" t="s">
        <v>31</v>
      </c>
      <c r="J79" s="16"/>
    </row>
    <row r="80" ht="15.0" customHeight="1">
      <c r="A80" s="8">
        <v>79.0</v>
      </c>
      <c r="B80" s="9" t="s">
        <v>238</v>
      </c>
      <c r="C80" s="9" t="s">
        <v>155</v>
      </c>
      <c r="D80" s="21" t="s">
        <v>23</v>
      </c>
      <c r="E80" s="9" t="s">
        <v>155</v>
      </c>
      <c r="F80" s="12" t="s">
        <v>25</v>
      </c>
      <c r="G80" s="8"/>
      <c r="H80" s="13"/>
      <c r="I80" s="9" t="s">
        <v>31</v>
      </c>
      <c r="J80" s="16"/>
    </row>
    <row r="81" ht="15.0" customHeight="1">
      <c r="A81" s="8">
        <v>80.0</v>
      </c>
      <c r="B81" s="9" t="s">
        <v>239</v>
      </c>
      <c r="C81" s="9" t="s">
        <v>155</v>
      </c>
      <c r="D81" s="21" t="s">
        <v>23</v>
      </c>
      <c r="E81" s="9" t="s">
        <v>155</v>
      </c>
      <c r="F81" s="12" t="s">
        <v>25</v>
      </c>
      <c r="G81" s="8"/>
      <c r="H81" s="13" t="s">
        <v>184</v>
      </c>
      <c r="I81" s="9" t="s">
        <v>31</v>
      </c>
      <c r="J81" s="16"/>
    </row>
    <row r="82" ht="15.0" customHeight="1">
      <c r="A82" s="8">
        <v>81.0</v>
      </c>
      <c r="B82" s="9" t="s">
        <v>240</v>
      </c>
      <c r="C82" s="9" t="s">
        <v>155</v>
      </c>
      <c r="D82" s="21" t="s">
        <v>23</v>
      </c>
      <c r="E82" s="9" t="s">
        <v>155</v>
      </c>
      <c r="F82" s="12" t="s">
        <v>25</v>
      </c>
      <c r="G82" s="8"/>
      <c r="H82" s="13"/>
      <c r="I82" s="9" t="s">
        <v>31</v>
      </c>
      <c r="J82" s="16"/>
    </row>
    <row r="83" ht="15.0" customHeight="1">
      <c r="A83" s="8">
        <v>82.0</v>
      </c>
      <c r="B83" s="9" t="s">
        <v>241</v>
      </c>
      <c r="C83" s="9" t="s">
        <v>155</v>
      </c>
      <c r="D83" s="21" t="s">
        <v>23</v>
      </c>
      <c r="E83" s="9" t="s">
        <v>155</v>
      </c>
      <c r="F83" s="12" t="s">
        <v>25</v>
      </c>
      <c r="G83" s="8"/>
      <c r="H83" s="13"/>
      <c r="I83" s="9" t="s">
        <v>31</v>
      </c>
      <c r="J83" s="16"/>
    </row>
    <row r="84" ht="15.0" customHeight="1">
      <c r="A84" s="8">
        <v>83.0</v>
      </c>
      <c r="B84" s="9" t="s">
        <v>242</v>
      </c>
      <c r="C84" s="9" t="s">
        <v>155</v>
      </c>
      <c r="D84" s="21" t="s">
        <v>23</v>
      </c>
      <c r="E84" s="9" t="s">
        <v>155</v>
      </c>
      <c r="F84" s="12" t="s">
        <v>25</v>
      </c>
      <c r="G84" s="8"/>
      <c r="H84" s="13"/>
      <c r="I84" s="9" t="s">
        <v>31</v>
      </c>
      <c r="J84" s="16"/>
    </row>
    <row r="85" ht="15.0" customHeight="1">
      <c r="A85" s="8">
        <v>84.0</v>
      </c>
      <c r="B85" s="9" t="s">
        <v>243</v>
      </c>
      <c r="C85" s="9" t="s">
        <v>155</v>
      </c>
      <c r="D85" s="21" t="s">
        <v>23</v>
      </c>
      <c r="E85" s="9" t="s">
        <v>155</v>
      </c>
      <c r="F85" s="12" t="s">
        <v>25</v>
      </c>
      <c r="G85" s="8"/>
      <c r="H85" s="13" t="s">
        <v>26</v>
      </c>
      <c r="I85" s="9" t="s">
        <v>31</v>
      </c>
      <c r="J85" s="16"/>
    </row>
    <row r="86" ht="15.0" customHeight="1">
      <c r="A86" s="8">
        <v>85.0</v>
      </c>
      <c r="B86" s="9" t="s">
        <v>195</v>
      </c>
      <c r="C86" s="9" t="s">
        <v>155</v>
      </c>
      <c r="D86" s="21" t="s">
        <v>23</v>
      </c>
      <c r="E86" s="9" t="s">
        <v>155</v>
      </c>
      <c r="F86" s="12" t="s">
        <v>25</v>
      </c>
      <c r="G86" s="19" t="s">
        <v>32</v>
      </c>
      <c r="H86" s="13"/>
      <c r="I86" s="9" t="s">
        <v>31</v>
      </c>
      <c r="J86" s="16"/>
    </row>
    <row r="87" ht="15.0" customHeight="1">
      <c r="A87" s="8">
        <v>86.0</v>
      </c>
      <c r="B87" s="9" t="s">
        <v>244</v>
      </c>
      <c r="C87" s="9" t="s">
        <v>155</v>
      </c>
      <c r="D87" s="23" t="s">
        <v>24</v>
      </c>
      <c r="E87" s="9" t="s">
        <v>155</v>
      </c>
      <c r="F87" s="12" t="s">
        <v>25</v>
      </c>
      <c r="G87" s="8"/>
      <c r="H87" s="13"/>
      <c r="I87" s="9" t="s">
        <v>31</v>
      </c>
      <c r="J87" s="16"/>
    </row>
    <row r="88" ht="15.0" customHeight="1">
      <c r="A88" s="8">
        <v>87.0</v>
      </c>
      <c r="B88" s="9" t="s">
        <v>245</v>
      </c>
      <c r="C88" s="9" t="s">
        <v>155</v>
      </c>
      <c r="D88" s="23" t="s">
        <v>24</v>
      </c>
      <c r="E88" s="9" t="s">
        <v>155</v>
      </c>
      <c r="F88" s="12" t="s">
        <v>25</v>
      </c>
      <c r="G88" s="8"/>
      <c r="H88" s="13" t="s">
        <v>184</v>
      </c>
      <c r="I88" s="9" t="s">
        <v>31</v>
      </c>
      <c r="J88" s="16"/>
    </row>
    <row r="89" ht="15.0" customHeight="1">
      <c r="A89" s="8">
        <v>88.0</v>
      </c>
      <c r="B89" s="9" t="s">
        <v>199</v>
      </c>
      <c r="C89" s="9" t="s">
        <v>155</v>
      </c>
      <c r="D89" s="23" t="s">
        <v>24</v>
      </c>
      <c r="E89" s="9" t="s">
        <v>155</v>
      </c>
      <c r="F89" s="12" t="s">
        <v>25</v>
      </c>
      <c r="G89" s="19" t="s">
        <v>32</v>
      </c>
      <c r="H89" s="13" t="s">
        <v>115</v>
      </c>
      <c r="I89" s="9" t="s">
        <v>31</v>
      </c>
      <c r="J89" s="16"/>
    </row>
    <row r="90" ht="15.0" customHeight="1">
      <c r="A90" s="8">
        <v>89.0</v>
      </c>
      <c r="B90" s="9" t="s">
        <v>246</v>
      </c>
      <c r="C90" s="9" t="s">
        <v>155</v>
      </c>
      <c r="D90" s="23" t="s">
        <v>24</v>
      </c>
      <c r="E90" s="9" t="s">
        <v>155</v>
      </c>
      <c r="F90" s="12" t="s">
        <v>25</v>
      </c>
      <c r="G90" s="8"/>
      <c r="H90" s="13"/>
      <c r="I90" s="9" t="s">
        <v>31</v>
      </c>
      <c r="J90" s="16"/>
    </row>
    <row r="91" ht="15.0" customHeight="1">
      <c r="A91" s="8">
        <v>90.0</v>
      </c>
      <c r="B91" s="9" t="s">
        <v>247</v>
      </c>
      <c r="C91" s="9" t="s">
        <v>155</v>
      </c>
      <c r="D91" s="23" t="s">
        <v>24</v>
      </c>
      <c r="E91" s="9" t="s">
        <v>155</v>
      </c>
      <c r="F91" s="12" t="s">
        <v>25</v>
      </c>
      <c r="G91" s="8"/>
      <c r="H91" s="13"/>
      <c r="I91" s="9" t="s">
        <v>31</v>
      </c>
      <c r="J91" s="16"/>
    </row>
    <row r="92" ht="15.0" customHeight="1">
      <c r="A92" s="8">
        <v>91.0</v>
      </c>
      <c r="B92" s="9" t="s">
        <v>248</v>
      </c>
      <c r="C92" s="9" t="s">
        <v>155</v>
      </c>
      <c r="D92" s="23" t="s">
        <v>24</v>
      </c>
      <c r="E92" s="9" t="s">
        <v>191</v>
      </c>
      <c r="F92" s="12" t="s">
        <v>25</v>
      </c>
      <c r="G92" s="8"/>
      <c r="H92" s="13"/>
      <c r="I92" s="9" t="s">
        <v>31</v>
      </c>
      <c r="J92" s="16"/>
    </row>
    <row r="93" ht="15.0" customHeight="1">
      <c r="A93" s="22">
        <v>92.0</v>
      </c>
      <c r="B93" s="24" t="s">
        <v>250</v>
      </c>
      <c r="C93" s="24" t="s">
        <v>162</v>
      </c>
      <c r="D93" s="18" t="s">
        <v>21</v>
      </c>
      <c r="E93" s="24" t="s">
        <v>28</v>
      </c>
      <c r="F93" s="25" t="s">
        <v>25</v>
      </c>
      <c r="G93" s="22"/>
      <c r="H93" s="26" t="s">
        <v>46</v>
      </c>
      <c r="I93" s="9" t="s">
        <v>31</v>
      </c>
      <c r="J93" s="28"/>
    </row>
    <row r="94" ht="15.0" customHeight="1">
      <c r="A94" s="22">
        <v>93.0</v>
      </c>
      <c r="B94" s="24" t="s">
        <v>75</v>
      </c>
      <c r="C94" s="24" t="s">
        <v>162</v>
      </c>
      <c r="D94" s="18" t="s">
        <v>21</v>
      </c>
      <c r="E94" s="24" t="s">
        <v>28</v>
      </c>
      <c r="F94" s="25" t="s">
        <v>25</v>
      </c>
      <c r="G94" s="19" t="s">
        <v>32</v>
      </c>
      <c r="H94" s="26" t="s">
        <v>232</v>
      </c>
      <c r="I94" s="9" t="s">
        <v>31</v>
      </c>
      <c r="J94" s="28"/>
    </row>
    <row r="95" ht="15.0" customHeight="1">
      <c r="A95" s="8">
        <v>94.0</v>
      </c>
      <c r="B95" s="9" t="s">
        <v>177</v>
      </c>
      <c r="C95" s="9" t="s">
        <v>171</v>
      </c>
      <c r="D95" s="21" t="s">
        <v>23</v>
      </c>
      <c r="E95" s="9" t="s">
        <v>42</v>
      </c>
      <c r="F95" s="12" t="s">
        <v>25</v>
      </c>
      <c r="G95" s="19" t="s">
        <v>32</v>
      </c>
      <c r="H95" s="13"/>
      <c r="I95" s="9" t="s">
        <v>31</v>
      </c>
      <c r="J95" s="16"/>
    </row>
    <row r="96" ht="15.0" customHeight="1">
      <c r="A96" s="8">
        <v>95.0</v>
      </c>
      <c r="B96" s="9" t="s">
        <v>252</v>
      </c>
      <c r="C96" s="9" t="s">
        <v>171</v>
      </c>
      <c r="D96" s="21" t="s">
        <v>23</v>
      </c>
      <c r="E96" s="9" t="s">
        <v>233</v>
      </c>
      <c r="F96" s="12" t="s">
        <v>25</v>
      </c>
      <c r="G96" s="8"/>
      <c r="H96" s="13"/>
      <c r="I96" s="9" t="s">
        <v>31</v>
      </c>
      <c r="J96" s="16"/>
    </row>
    <row r="97" ht="15.0" customHeight="1">
      <c r="A97" s="22">
        <v>96.0</v>
      </c>
      <c r="B97" s="29" t="s">
        <v>254</v>
      </c>
      <c r="C97" s="24" t="s">
        <v>88</v>
      </c>
      <c r="D97" s="18" t="s">
        <v>21</v>
      </c>
      <c r="E97" s="24" t="s">
        <v>71</v>
      </c>
      <c r="F97" s="25" t="s">
        <v>25</v>
      </c>
      <c r="G97" s="22"/>
      <c r="H97" s="26"/>
      <c r="I97" s="9" t="s">
        <v>31</v>
      </c>
      <c r="J97" s="28" t="s">
        <v>282</v>
      </c>
    </row>
    <row r="98" ht="15.0" customHeight="1">
      <c r="A98" s="22">
        <v>97.0</v>
      </c>
      <c r="B98" s="29" t="s">
        <v>255</v>
      </c>
      <c r="C98" s="24" t="s">
        <v>88</v>
      </c>
      <c r="D98" s="21" t="s">
        <v>23</v>
      </c>
      <c r="E98" s="24" t="s">
        <v>256</v>
      </c>
      <c r="F98" s="25" t="s">
        <v>25</v>
      </c>
      <c r="G98" s="22"/>
      <c r="H98" s="26" t="s">
        <v>231</v>
      </c>
      <c r="I98" s="9" t="s">
        <v>31</v>
      </c>
      <c r="J98" s="28" t="s">
        <v>284</v>
      </c>
    </row>
    <row r="99" ht="15.0" customHeight="1">
      <c r="A99" s="8">
        <v>98.0</v>
      </c>
      <c r="B99" s="9" t="s">
        <v>258</v>
      </c>
      <c r="C99" s="9" t="s">
        <v>184</v>
      </c>
      <c r="D99" s="11" t="s">
        <v>20</v>
      </c>
      <c r="E99" s="9" t="s">
        <v>28</v>
      </c>
      <c r="F99" s="12" t="s">
        <v>25</v>
      </c>
      <c r="G99" s="8"/>
      <c r="H99" s="13"/>
      <c r="I99" s="9" t="s">
        <v>31</v>
      </c>
      <c r="J99" s="16"/>
    </row>
    <row r="100" ht="15.0" customHeight="1">
      <c r="A100" s="8">
        <v>99.0</v>
      </c>
      <c r="B100" s="9" t="s">
        <v>102</v>
      </c>
      <c r="C100" s="9" t="s">
        <v>184</v>
      </c>
      <c r="D100" s="18" t="s">
        <v>21</v>
      </c>
      <c r="E100" s="9" t="s">
        <v>42</v>
      </c>
      <c r="F100" s="12" t="s">
        <v>25</v>
      </c>
      <c r="G100" s="19" t="s">
        <v>32</v>
      </c>
      <c r="H100" s="13"/>
      <c r="I100" s="9" t="s">
        <v>31</v>
      </c>
      <c r="J100" s="16"/>
    </row>
    <row r="101" ht="15.0" customHeight="1">
      <c r="A101" s="8">
        <v>100.0</v>
      </c>
      <c r="B101" s="9" t="s">
        <v>259</v>
      </c>
      <c r="C101" s="9" t="s">
        <v>184</v>
      </c>
      <c r="D101" s="18" t="s">
        <v>21</v>
      </c>
      <c r="E101" s="9" t="s">
        <v>160</v>
      </c>
      <c r="F101" s="12" t="s">
        <v>25</v>
      </c>
      <c r="G101" s="8"/>
      <c r="H101" s="13" t="s">
        <v>115</v>
      </c>
      <c r="I101" s="9" t="s">
        <v>31</v>
      </c>
      <c r="J101" s="16"/>
    </row>
    <row r="102" ht="15.0" customHeight="1">
      <c r="A102" s="8">
        <v>101.0</v>
      </c>
      <c r="B102" s="9" t="s">
        <v>106</v>
      </c>
      <c r="C102" s="9" t="s">
        <v>184</v>
      </c>
      <c r="D102" s="18" t="s">
        <v>21</v>
      </c>
      <c r="E102" s="9" t="s">
        <v>42</v>
      </c>
      <c r="F102" s="12" t="s">
        <v>25</v>
      </c>
      <c r="G102" s="19" t="s">
        <v>32</v>
      </c>
      <c r="H102" s="13"/>
      <c r="I102" s="9" t="s">
        <v>31</v>
      </c>
      <c r="J102" s="16"/>
    </row>
    <row r="103" ht="15.0" customHeight="1">
      <c r="A103" s="8">
        <v>102.0</v>
      </c>
      <c r="B103" s="9" t="s">
        <v>104</v>
      </c>
      <c r="C103" s="9" t="s">
        <v>184</v>
      </c>
      <c r="D103" s="18" t="s">
        <v>21</v>
      </c>
      <c r="E103" s="9" t="s">
        <v>28</v>
      </c>
      <c r="F103" s="12" t="s">
        <v>25</v>
      </c>
      <c r="G103" s="19" t="s">
        <v>32</v>
      </c>
      <c r="H103" s="13"/>
      <c r="I103" s="9" t="s">
        <v>31</v>
      </c>
      <c r="J103" s="16"/>
    </row>
    <row r="104" ht="15.0" customHeight="1">
      <c r="A104" s="8">
        <v>103.0</v>
      </c>
      <c r="B104" s="9" t="s">
        <v>260</v>
      </c>
      <c r="C104" s="9" t="s">
        <v>184</v>
      </c>
      <c r="D104" s="21" t="s">
        <v>23</v>
      </c>
      <c r="E104" s="9" t="s">
        <v>28</v>
      </c>
      <c r="F104" s="12" t="s">
        <v>25</v>
      </c>
      <c r="G104" s="8"/>
      <c r="H104" s="13"/>
      <c r="I104" s="9" t="s">
        <v>31</v>
      </c>
      <c r="J104" s="16"/>
    </row>
    <row r="105" ht="15.0" customHeight="1">
      <c r="A105" s="22">
        <v>104.0</v>
      </c>
      <c r="B105" s="29" t="s">
        <v>262</v>
      </c>
      <c r="C105" s="24" t="s">
        <v>192</v>
      </c>
      <c r="D105" s="11" t="s">
        <v>20</v>
      </c>
      <c r="E105" s="24" t="s">
        <v>263</v>
      </c>
      <c r="F105" s="25" t="s">
        <v>25</v>
      </c>
      <c r="G105" s="22"/>
      <c r="H105" s="26" t="s">
        <v>207</v>
      </c>
      <c r="I105" s="9" t="s">
        <v>31</v>
      </c>
      <c r="J105" s="28" t="s">
        <v>294</v>
      </c>
    </row>
    <row r="106" ht="15.0" customHeight="1">
      <c r="A106" s="22">
        <v>105.0</v>
      </c>
      <c r="B106" s="24" t="s">
        <v>264</v>
      </c>
      <c r="C106" s="24" t="s">
        <v>192</v>
      </c>
      <c r="D106" s="18" t="s">
        <v>21</v>
      </c>
      <c r="E106" s="24" t="s">
        <v>192</v>
      </c>
      <c r="F106" s="25" t="s">
        <v>25</v>
      </c>
      <c r="G106" s="22"/>
      <c r="H106" s="26"/>
      <c r="I106" s="9" t="s">
        <v>31</v>
      </c>
      <c r="J106" s="28"/>
    </row>
    <row r="107" ht="15.0" customHeight="1">
      <c r="A107" s="22">
        <v>106.0</v>
      </c>
      <c r="B107" s="24" t="s">
        <v>265</v>
      </c>
      <c r="C107" s="24" t="s">
        <v>192</v>
      </c>
      <c r="D107" s="18" t="s">
        <v>21</v>
      </c>
      <c r="E107" s="24" t="s">
        <v>192</v>
      </c>
      <c r="F107" s="25" t="s">
        <v>25</v>
      </c>
      <c r="G107" s="22"/>
      <c r="H107" s="26"/>
      <c r="I107" s="9" t="s">
        <v>31</v>
      </c>
      <c r="J107" s="28"/>
    </row>
    <row r="108" ht="15.0" customHeight="1">
      <c r="A108" s="22">
        <v>107.0</v>
      </c>
      <c r="B108" s="24" t="s">
        <v>266</v>
      </c>
      <c r="C108" s="24" t="s">
        <v>192</v>
      </c>
      <c r="D108" s="18" t="s">
        <v>21</v>
      </c>
      <c r="E108" s="24" t="s">
        <v>192</v>
      </c>
      <c r="F108" s="25" t="s">
        <v>25</v>
      </c>
      <c r="G108" s="22"/>
      <c r="H108" s="26"/>
      <c r="I108" s="9" t="s">
        <v>31</v>
      </c>
      <c r="J108" s="28"/>
    </row>
    <row r="109" ht="15.0" customHeight="1">
      <c r="A109" s="22">
        <v>108.0</v>
      </c>
      <c r="B109" s="24" t="s">
        <v>267</v>
      </c>
      <c r="C109" s="24" t="s">
        <v>192</v>
      </c>
      <c r="D109" s="18" t="s">
        <v>21</v>
      </c>
      <c r="E109" s="24" t="s">
        <v>192</v>
      </c>
      <c r="F109" s="25" t="s">
        <v>25</v>
      </c>
      <c r="G109" s="22"/>
      <c r="H109" s="26"/>
      <c r="I109" s="9" t="s">
        <v>31</v>
      </c>
      <c r="J109" s="28"/>
    </row>
    <row r="110" ht="15.0" customHeight="1">
      <c r="A110" s="22">
        <v>109.0</v>
      </c>
      <c r="B110" s="24" t="s">
        <v>268</v>
      </c>
      <c r="C110" s="24" t="s">
        <v>192</v>
      </c>
      <c r="D110" s="18" t="s">
        <v>21</v>
      </c>
      <c r="E110" s="24" t="s">
        <v>192</v>
      </c>
      <c r="F110" s="25" t="s">
        <v>25</v>
      </c>
      <c r="G110" s="22"/>
      <c r="H110" s="26" t="s">
        <v>134</v>
      </c>
      <c r="I110" s="9" t="s">
        <v>31</v>
      </c>
      <c r="J110" s="28"/>
    </row>
    <row r="111" ht="15.0" customHeight="1">
      <c r="A111" s="22">
        <v>110.0</v>
      </c>
      <c r="B111" s="24" t="s">
        <v>99</v>
      </c>
      <c r="C111" s="24" t="s">
        <v>192</v>
      </c>
      <c r="D111" s="18" t="s">
        <v>21</v>
      </c>
      <c r="E111" s="24" t="s">
        <v>192</v>
      </c>
      <c r="F111" s="25" t="s">
        <v>25</v>
      </c>
      <c r="G111" s="19" t="s">
        <v>32</v>
      </c>
      <c r="H111" s="26"/>
      <c r="I111" s="9" t="s">
        <v>31</v>
      </c>
      <c r="J111" s="28"/>
    </row>
    <row r="112" ht="15.0" customHeight="1">
      <c r="A112" s="22">
        <v>111.0</v>
      </c>
      <c r="B112" s="24" t="s">
        <v>269</v>
      </c>
      <c r="C112" s="24" t="s">
        <v>192</v>
      </c>
      <c r="D112" s="21" t="s">
        <v>23</v>
      </c>
      <c r="E112" s="24" t="s">
        <v>192</v>
      </c>
      <c r="F112" s="25" t="s">
        <v>25</v>
      </c>
      <c r="G112" s="22"/>
      <c r="H112" s="26"/>
      <c r="I112" s="9" t="s">
        <v>31</v>
      </c>
      <c r="J112" s="28"/>
    </row>
    <row r="113" ht="15.0" customHeight="1">
      <c r="A113" s="22">
        <v>112.0</v>
      </c>
      <c r="B113" s="24" t="s">
        <v>270</v>
      </c>
      <c r="C113" s="24" t="s">
        <v>192</v>
      </c>
      <c r="D113" s="21" t="s">
        <v>23</v>
      </c>
      <c r="E113" s="24" t="s">
        <v>192</v>
      </c>
      <c r="F113" s="25" t="s">
        <v>25</v>
      </c>
      <c r="G113" s="22"/>
      <c r="H113" s="26"/>
      <c r="I113" s="9" t="s">
        <v>31</v>
      </c>
      <c r="J113" s="28"/>
    </row>
    <row r="114" ht="15.0" customHeight="1">
      <c r="A114" s="22">
        <v>113.0</v>
      </c>
      <c r="B114" s="24" t="s">
        <v>271</v>
      </c>
      <c r="C114" s="24" t="s">
        <v>192</v>
      </c>
      <c r="D114" s="23" t="s">
        <v>24</v>
      </c>
      <c r="E114" s="24" t="s">
        <v>272</v>
      </c>
      <c r="F114" s="25" t="s">
        <v>25</v>
      </c>
      <c r="G114" s="22"/>
      <c r="H114" s="26" t="s">
        <v>207</v>
      </c>
      <c r="I114" s="9" t="s">
        <v>31</v>
      </c>
      <c r="J114" s="28"/>
    </row>
    <row r="115" ht="15.0" customHeight="1">
      <c r="A115" s="22">
        <v>114.0</v>
      </c>
      <c r="B115" s="24" t="s">
        <v>273</v>
      </c>
      <c r="C115" s="24" t="s">
        <v>192</v>
      </c>
      <c r="D115" s="23" t="s">
        <v>24</v>
      </c>
      <c r="E115" s="24" t="s">
        <v>40</v>
      </c>
      <c r="F115" s="25" t="s">
        <v>25</v>
      </c>
      <c r="G115" s="22"/>
      <c r="H115" s="26"/>
      <c r="I115" s="9" t="s">
        <v>31</v>
      </c>
      <c r="J115" s="28"/>
    </row>
    <row r="116" ht="15.0" customHeight="1">
      <c r="A116" s="22">
        <v>115.0</v>
      </c>
      <c r="B116" s="24" t="s">
        <v>274</v>
      </c>
      <c r="C116" s="24" t="s">
        <v>192</v>
      </c>
      <c r="D116" s="23" t="s">
        <v>24</v>
      </c>
      <c r="E116" s="24" t="s">
        <v>192</v>
      </c>
      <c r="F116" s="25" t="s">
        <v>25</v>
      </c>
      <c r="G116" s="22"/>
      <c r="H116" s="26" t="s">
        <v>184</v>
      </c>
      <c r="I116" s="9" t="s">
        <v>31</v>
      </c>
      <c r="J116" s="28"/>
    </row>
    <row r="117" ht="15.0" customHeight="1">
      <c r="A117" s="8">
        <v>116.0</v>
      </c>
      <c r="B117" s="29" t="s">
        <v>276</v>
      </c>
      <c r="C117" s="9" t="s">
        <v>201</v>
      </c>
      <c r="D117" s="11" t="s">
        <v>20</v>
      </c>
      <c r="E117" s="9" t="s">
        <v>201</v>
      </c>
      <c r="F117" s="12" t="s">
        <v>25</v>
      </c>
      <c r="G117" s="8"/>
      <c r="H117" s="13"/>
      <c r="I117" s="9" t="s">
        <v>31</v>
      </c>
      <c r="J117" s="16" t="s">
        <v>304</v>
      </c>
    </row>
    <row r="118" ht="15.0" customHeight="1">
      <c r="A118" s="8">
        <v>117.0</v>
      </c>
      <c r="B118" s="9" t="s">
        <v>277</v>
      </c>
      <c r="C118" s="9" t="s">
        <v>201</v>
      </c>
      <c r="D118" s="18" t="s">
        <v>21</v>
      </c>
      <c r="E118" s="9" t="s">
        <v>201</v>
      </c>
      <c r="F118" s="12" t="s">
        <v>25</v>
      </c>
      <c r="G118" s="8"/>
      <c r="H118" s="13" t="s">
        <v>46</v>
      </c>
      <c r="I118" s="9" t="s">
        <v>31</v>
      </c>
      <c r="J118" s="16"/>
    </row>
    <row r="119" ht="15.0" customHeight="1">
      <c r="A119" s="8">
        <v>118.0</v>
      </c>
      <c r="B119" s="9" t="s">
        <v>164</v>
      </c>
      <c r="C119" s="9" t="s">
        <v>201</v>
      </c>
      <c r="D119" s="18" t="s">
        <v>21</v>
      </c>
      <c r="E119" s="9" t="s">
        <v>42</v>
      </c>
      <c r="F119" s="12" t="s">
        <v>25</v>
      </c>
      <c r="G119" s="19" t="s">
        <v>32</v>
      </c>
      <c r="H119" s="13"/>
      <c r="I119" s="9" t="s">
        <v>31</v>
      </c>
      <c r="J119" s="16"/>
    </row>
    <row r="120" ht="15.0" customHeight="1">
      <c r="A120" s="8">
        <v>119.0</v>
      </c>
      <c r="B120" s="9" t="s">
        <v>168</v>
      </c>
      <c r="C120" s="9" t="s">
        <v>201</v>
      </c>
      <c r="D120" s="18" t="s">
        <v>21</v>
      </c>
      <c r="E120" s="9" t="s">
        <v>201</v>
      </c>
      <c r="F120" s="12" t="s">
        <v>25</v>
      </c>
      <c r="G120" s="19" t="s">
        <v>32</v>
      </c>
      <c r="H120" s="13"/>
      <c r="I120" s="9" t="s">
        <v>31</v>
      </c>
      <c r="J120" s="16"/>
    </row>
    <row r="121" ht="15.0" customHeight="1">
      <c r="A121" s="8">
        <v>120.0</v>
      </c>
      <c r="B121" s="9" t="s">
        <v>278</v>
      </c>
      <c r="C121" s="9" t="s">
        <v>201</v>
      </c>
      <c r="D121" s="18" t="s">
        <v>21</v>
      </c>
      <c r="E121" s="9" t="s">
        <v>201</v>
      </c>
      <c r="F121" s="12" t="s">
        <v>25</v>
      </c>
      <c r="G121" s="8"/>
      <c r="H121" s="13"/>
      <c r="I121" s="9" t="s">
        <v>31</v>
      </c>
      <c r="J121" s="16"/>
    </row>
    <row r="122" ht="15.0" customHeight="1">
      <c r="A122" s="8">
        <v>121.0</v>
      </c>
      <c r="B122" s="29" t="s">
        <v>279</v>
      </c>
      <c r="C122" s="9" t="s">
        <v>201</v>
      </c>
      <c r="D122" s="18" t="s">
        <v>21</v>
      </c>
      <c r="E122" s="9" t="s">
        <v>233</v>
      </c>
      <c r="F122" s="12" t="s">
        <v>25</v>
      </c>
      <c r="G122" s="8"/>
      <c r="H122" s="13" t="s">
        <v>308</v>
      </c>
      <c r="I122" s="9" t="s">
        <v>31</v>
      </c>
      <c r="J122" s="16" t="s">
        <v>309</v>
      </c>
    </row>
    <row r="123" ht="15.0" customHeight="1">
      <c r="A123" s="8">
        <v>122.0</v>
      </c>
      <c r="B123" s="9" t="s">
        <v>280</v>
      </c>
      <c r="C123" s="9" t="s">
        <v>201</v>
      </c>
      <c r="D123" s="18" t="s">
        <v>21</v>
      </c>
      <c r="E123" s="9" t="s">
        <v>191</v>
      </c>
      <c r="F123" s="12" t="s">
        <v>25</v>
      </c>
      <c r="G123" s="8"/>
      <c r="H123" s="13" t="s">
        <v>184</v>
      </c>
      <c r="I123" s="9" t="s">
        <v>31</v>
      </c>
      <c r="J123" s="16"/>
    </row>
    <row r="124" ht="15.0" customHeight="1">
      <c r="A124" s="8">
        <v>123.0</v>
      </c>
      <c r="B124" s="9" t="s">
        <v>281</v>
      </c>
      <c r="C124" s="9" t="s">
        <v>201</v>
      </c>
      <c r="D124" s="18" t="s">
        <v>21</v>
      </c>
      <c r="E124" s="9" t="s">
        <v>201</v>
      </c>
      <c r="F124" s="12" t="s">
        <v>25</v>
      </c>
      <c r="G124" s="8"/>
      <c r="H124" s="13"/>
      <c r="I124" s="9" t="s">
        <v>31</v>
      </c>
      <c r="J124" s="16"/>
    </row>
    <row r="125" ht="15.0" customHeight="1">
      <c r="A125" s="8">
        <v>124.0</v>
      </c>
      <c r="B125" s="9" t="s">
        <v>161</v>
      </c>
      <c r="C125" s="9" t="s">
        <v>201</v>
      </c>
      <c r="D125" s="18" t="s">
        <v>21</v>
      </c>
      <c r="E125" s="9" t="s">
        <v>201</v>
      </c>
      <c r="F125" s="12" t="s">
        <v>25</v>
      </c>
      <c r="G125" s="19" t="s">
        <v>32</v>
      </c>
      <c r="H125" s="13"/>
      <c r="I125" s="9" t="s">
        <v>31</v>
      </c>
      <c r="J125" s="16"/>
    </row>
    <row r="126" ht="15.0" customHeight="1">
      <c r="A126" s="8">
        <v>125.0</v>
      </c>
      <c r="B126" s="9" t="s">
        <v>167</v>
      </c>
      <c r="C126" s="9" t="s">
        <v>201</v>
      </c>
      <c r="D126" s="18" t="s">
        <v>21</v>
      </c>
      <c r="E126" s="9" t="s">
        <v>42</v>
      </c>
      <c r="F126" s="12" t="s">
        <v>25</v>
      </c>
      <c r="G126" s="19" t="s">
        <v>32</v>
      </c>
      <c r="H126" s="13"/>
      <c r="I126" s="9" t="s">
        <v>31</v>
      </c>
      <c r="J126" s="16"/>
    </row>
    <row r="127" ht="15.0" customHeight="1">
      <c r="A127" s="8">
        <v>126.0</v>
      </c>
      <c r="B127" s="9" t="s">
        <v>283</v>
      </c>
      <c r="C127" s="9" t="s">
        <v>201</v>
      </c>
      <c r="D127" s="18" t="s">
        <v>21</v>
      </c>
      <c r="E127" s="9" t="s">
        <v>201</v>
      </c>
      <c r="F127" s="12" t="s">
        <v>25</v>
      </c>
      <c r="G127" s="8"/>
      <c r="H127" s="13" t="s">
        <v>184</v>
      </c>
      <c r="I127" s="9" t="s">
        <v>31</v>
      </c>
      <c r="J127" s="16"/>
    </row>
    <row r="128" ht="15.0" customHeight="1">
      <c r="A128" s="8">
        <v>127.0</v>
      </c>
      <c r="B128" s="9" t="s">
        <v>285</v>
      </c>
      <c r="C128" s="9" t="s">
        <v>201</v>
      </c>
      <c r="D128" s="21" t="s">
        <v>23</v>
      </c>
      <c r="E128" s="9" t="s">
        <v>201</v>
      </c>
      <c r="F128" s="12" t="s">
        <v>25</v>
      </c>
      <c r="G128" s="8"/>
      <c r="H128" s="13"/>
      <c r="I128" s="9" t="s">
        <v>31</v>
      </c>
      <c r="J128" s="16"/>
    </row>
    <row r="129" ht="15.0" customHeight="1">
      <c r="A129" s="8">
        <v>128.0</v>
      </c>
      <c r="B129" s="9" t="s">
        <v>286</v>
      </c>
      <c r="C129" s="9" t="s">
        <v>201</v>
      </c>
      <c r="D129" s="21" t="s">
        <v>23</v>
      </c>
      <c r="E129" s="9" t="s">
        <v>28</v>
      </c>
      <c r="F129" s="12" t="s">
        <v>25</v>
      </c>
      <c r="G129" s="8"/>
      <c r="H129" s="13" t="s">
        <v>214</v>
      </c>
      <c r="I129" s="9" t="s">
        <v>31</v>
      </c>
      <c r="J129" s="16"/>
    </row>
    <row r="130" ht="15.0" customHeight="1">
      <c r="A130" s="8">
        <v>129.0</v>
      </c>
      <c r="B130" s="9" t="s">
        <v>287</v>
      </c>
      <c r="C130" s="9" t="s">
        <v>201</v>
      </c>
      <c r="D130" s="21" t="s">
        <v>23</v>
      </c>
      <c r="E130" s="9" t="s">
        <v>233</v>
      </c>
      <c r="F130" s="12" t="s">
        <v>25</v>
      </c>
      <c r="G130" s="8"/>
      <c r="H130" s="13"/>
      <c r="I130" s="9" t="s">
        <v>31</v>
      </c>
      <c r="J130" s="16"/>
    </row>
    <row r="131" ht="15.0" customHeight="1">
      <c r="A131" s="8">
        <v>130.0</v>
      </c>
      <c r="B131" s="9" t="s">
        <v>288</v>
      </c>
      <c r="C131" s="9" t="s">
        <v>201</v>
      </c>
      <c r="D131" s="23" t="s">
        <v>24</v>
      </c>
      <c r="E131" s="9" t="s">
        <v>201</v>
      </c>
      <c r="F131" s="12" t="s">
        <v>25</v>
      </c>
      <c r="G131" s="8"/>
      <c r="H131" s="13"/>
      <c r="I131" s="9" t="s">
        <v>31</v>
      </c>
      <c r="J131" s="16"/>
    </row>
    <row r="132" ht="15.0" customHeight="1">
      <c r="A132" s="8">
        <v>131.0</v>
      </c>
      <c r="B132" s="9" t="s">
        <v>289</v>
      </c>
      <c r="C132" s="9" t="s">
        <v>201</v>
      </c>
      <c r="D132" s="23" t="s">
        <v>24</v>
      </c>
      <c r="E132" s="9" t="s">
        <v>233</v>
      </c>
      <c r="F132" s="12" t="s">
        <v>25</v>
      </c>
      <c r="G132" s="8"/>
      <c r="H132" s="13"/>
      <c r="I132" s="9" t="s">
        <v>31</v>
      </c>
      <c r="J132" s="16"/>
    </row>
    <row r="133" ht="15.0" customHeight="1">
      <c r="A133" s="22">
        <v>132.0</v>
      </c>
      <c r="B133" s="24" t="s">
        <v>291</v>
      </c>
      <c r="C133" s="24" t="s">
        <v>207</v>
      </c>
      <c r="D133" s="11" t="s">
        <v>20</v>
      </c>
      <c r="E133" s="24" t="s">
        <v>272</v>
      </c>
      <c r="F133" s="25" t="s">
        <v>25</v>
      </c>
      <c r="G133" s="22"/>
      <c r="H133" s="26"/>
      <c r="I133" s="9" t="s">
        <v>31</v>
      </c>
      <c r="J133" s="28"/>
    </row>
    <row r="134" ht="15.0" customHeight="1">
      <c r="A134" s="22">
        <v>133.0</v>
      </c>
      <c r="B134" s="24" t="s">
        <v>292</v>
      </c>
      <c r="C134" s="24" t="s">
        <v>207</v>
      </c>
      <c r="D134" s="11" t="s">
        <v>20</v>
      </c>
      <c r="E134" s="24" t="s">
        <v>272</v>
      </c>
      <c r="F134" s="25" t="s">
        <v>25</v>
      </c>
      <c r="G134" s="22"/>
      <c r="H134" s="26"/>
      <c r="I134" s="9" t="s">
        <v>31</v>
      </c>
      <c r="J134" s="28"/>
    </row>
    <row r="135" ht="15.0" customHeight="1">
      <c r="A135" s="22">
        <v>134.0</v>
      </c>
      <c r="B135" s="24" t="s">
        <v>139</v>
      </c>
      <c r="C135" s="24" t="s">
        <v>207</v>
      </c>
      <c r="D135" s="11" t="s">
        <v>20</v>
      </c>
      <c r="E135" s="24" t="s">
        <v>42</v>
      </c>
      <c r="F135" s="25" t="s">
        <v>25</v>
      </c>
      <c r="G135" s="19" t="s">
        <v>32</v>
      </c>
      <c r="H135" s="26"/>
      <c r="I135" s="9" t="s">
        <v>31</v>
      </c>
      <c r="J135" s="28"/>
    </row>
    <row r="136" ht="15.0" customHeight="1">
      <c r="A136" s="22">
        <v>135.0</v>
      </c>
      <c r="B136" s="24" t="s">
        <v>126</v>
      </c>
      <c r="C136" s="24" t="s">
        <v>207</v>
      </c>
      <c r="D136" s="11" t="s">
        <v>20</v>
      </c>
      <c r="E136" s="24" t="s">
        <v>272</v>
      </c>
      <c r="F136" s="25" t="s">
        <v>25</v>
      </c>
      <c r="G136" s="19" t="s">
        <v>32</v>
      </c>
      <c r="H136" s="26"/>
      <c r="I136" s="9" t="s">
        <v>31</v>
      </c>
      <c r="J136" s="28"/>
    </row>
    <row r="137" ht="15.0" customHeight="1">
      <c r="A137" s="22">
        <v>136.0</v>
      </c>
      <c r="B137" s="24" t="s">
        <v>293</v>
      </c>
      <c r="C137" s="24" t="s">
        <v>207</v>
      </c>
      <c r="D137" s="11" t="s">
        <v>20</v>
      </c>
      <c r="E137" s="24" t="s">
        <v>191</v>
      </c>
      <c r="F137" s="25" t="s">
        <v>25</v>
      </c>
      <c r="G137" s="22"/>
      <c r="H137" s="26"/>
      <c r="I137" s="9" t="s">
        <v>31</v>
      </c>
      <c r="J137" s="28"/>
    </row>
    <row r="138" ht="15.0" customHeight="1">
      <c r="A138" s="22">
        <v>137.0</v>
      </c>
      <c r="B138" s="24" t="s">
        <v>129</v>
      </c>
      <c r="C138" s="24" t="s">
        <v>207</v>
      </c>
      <c r="D138" s="11" t="s">
        <v>20</v>
      </c>
      <c r="E138" s="24" t="s">
        <v>42</v>
      </c>
      <c r="F138" s="25" t="s">
        <v>25</v>
      </c>
      <c r="G138" s="19" t="s">
        <v>32</v>
      </c>
      <c r="H138" s="26"/>
      <c r="I138" s="9" t="s">
        <v>31</v>
      </c>
      <c r="J138" s="28"/>
    </row>
    <row r="139" ht="15.0" customHeight="1">
      <c r="A139" s="22">
        <v>138.0</v>
      </c>
      <c r="B139" s="24" t="s">
        <v>131</v>
      </c>
      <c r="C139" s="24" t="s">
        <v>207</v>
      </c>
      <c r="D139" s="11" t="s">
        <v>20</v>
      </c>
      <c r="E139" s="24" t="s">
        <v>42</v>
      </c>
      <c r="F139" s="25" t="s">
        <v>25</v>
      </c>
      <c r="G139" s="19" t="s">
        <v>32</v>
      </c>
      <c r="H139" s="26"/>
      <c r="I139" s="9" t="s">
        <v>31</v>
      </c>
      <c r="J139" s="28"/>
    </row>
    <row r="140" ht="15.0" customHeight="1">
      <c r="A140" s="22">
        <v>139.0</v>
      </c>
      <c r="B140" s="24" t="s">
        <v>295</v>
      </c>
      <c r="C140" s="24" t="s">
        <v>207</v>
      </c>
      <c r="D140" s="18" t="s">
        <v>21</v>
      </c>
      <c r="E140" s="24" t="s">
        <v>272</v>
      </c>
      <c r="F140" s="25" t="s">
        <v>25</v>
      </c>
      <c r="G140" s="22"/>
      <c r="H140" s="26"/>
      <c r="I140" s="9" t="s">
        <v>31</v>
      </c>
      <c r="J140" s="28"/>
    </row>
    <row r="141" ht="15.0" customHeight="1">
      <c r="A141" s="22">
        <v>140.0</v>
      </c>
      <c r="B141" s="24" t="s">
        <v>296</v>
      </c>
      <c r="C141" s="24" t="s">
        <v>207</v>
      </c>
      <c r="D141" s="18" t="s">
        <v>21</v>
      </c>
      <c r="E141" s="24" t="s">
        <v>170</v>
      </c>
      <c r="F141" s="25" t="s">
        <v>25</v>
      </c>
      <c r="G141" s="22"/>
      <c r="H141" s="26"/>
      <c r="I141" s="9" t="s">
        <v>31</v>
      </c>
      <c r="J141" s="28"/>
    </row>
    <row r="142" ht="15.0" customHeight="1">
      <c r="A142" s="22">
        <v>141.0</v>
      </c>
      <c r="B142" s="24" t="s">
        <v>133</v>
      </c>
      <c r="C142" s="24" t="s">
        <v>207</v>
      </c>
      <c r="D142" s="18" t="s">
        <v>21</v>
      </c>
      <c r="E142" s="24" t="s">
        <v>42</v>
      </c>
      <c r="F142" s="25" t="s">
        <v>25</v>
      </c>
      <c r="G142" s="19" t="s">
        <v>32</v>
      </c>
      <c r="H142" s="26"/>
      <c r="I142" s="9" t="s">
        <v>31</v>
      </c>
      <c r="J142" s="28"/>
    </row>
    <row r="143" ht="15.0" customHeight="1">
      <c r="A143" s="22">
        <v>142.0</v>
      </c>
      <c r="B143" s="24" t="s">
        <v>297</v>
      </c>
      <c r="C143" s="24" t="s">
        <v>207</v>
      </c>
      <c r="D143" s="18" t="s">
        <v>21</v>
      </c>
      <c r="E143" s="24" t="s">
        <v>170</v>
      </c>
      <c r="F143" s="25" t="s">
        <v>25</v>
      </c>
      <c r="G143" s="22"/>
      <c r="H143" s="26" t="s">
        <v>115</v>
      </c>
      <c r="I143" s="9" t="s">
        <v>31</v>
      </c>
      <c r="J143" s="28"/>
    </row>
    <row r="144" ht="15.0" customHeight="1">
      <c r="A144" s="22">
        <v>143.0</v>
      </c>
      <c r="B144" s="24" t="s">
        <v>298</v>
      </c>
      <c r="C144" s="24" t="s">
        <v>207</v>
      </c>
      <c r="D144" s="18" t="s">
        <v>21</v>
      </c>
      <c r="E144" s="24" t="s">
        <v>272</v>
      </c>
      <c r="F144" s="25" t="s">
        <v>25</v>
      </c>
      <c r="G144" s="22"/>
      <c r="H144" s="26"/>
      <c r="I144" s="9" t="s">
        <v>31</v>
      </c>
      <c r="J144" s="28"/>
    </row>
    <row r="145" ht="15.0" customHeight="1">
      <c r="A145" s="22">
        <v>144.0</v>
      </c>
      <c r="B145" s="24" t="s">
        <v>299</v>
      </c>
      <c r="C145" s="24" t="s">
        <v>207</v>
      </c>
      <c r="D145" s="18" t="s">
        <v>21</v>
      </c>
      <c r="E145" s="24" t="s">
        <v>272</v>
      </c>
      <c r="F145" s="25" t="s">
        <v>25</v>
      </c>
      <c r="G145" s="22"/>
      <c r="H145" s="26"/>
      <c r="I145" s="9" t="s">
        <v>31</v>
      </c>
      <c r="J145" s="28"/>
    </row>
    <row r="146" ht="15.0" customHeight="1">
      <c r="A146" s="22">
        <v>145.0</v>
      </c>
      <c r="B146" s="24" t="s">
        <v>143</v>
      </c>
      <c r="C146" s="24" t="s">
        <v>207</v>
      </c>
      <c r="D146" s="18" t="s">
        <v>21</v>
      </c>
      <c r="E146" s="24" t="s">
        <v>170</v>
      </c>
      <c r="F146" s="25" t="s">
        <v>25</v>
      </c>
      <c r="G146" s="19" t="s">
        <v>32</v>
      </c>
      <c r="H146" s="26"/>
      <c r="I146" s="9" t="s">
        <v>31</v>
      </c>
      <c r="J146" s="28"/>
    </row>
    <row r="147" ht="15.0" customHeight="1">
      <c r="A147" s="22">
        <v>146.0</v>
      </c>
      <c r="B147" s="29" t="s">
        <v>300</v>
      </c>
      <c r="C147" s="24" t="s">
        <v>207</v>
      </c>
      <c r="D147" s="18" t="s">
        <v>21</v>
      </c>
      <c r="E147" s="24" t="s">
        <v>301</v>
      </c>
      <c r="F147" s="25" t="s">
        <v>25</v>
      </c>
      <c r="G147" s="22"/>
      <c r="H147" s="26"/>
      <c r="I147" s="9" t="s">
        <v>31</v>
      </c>
      <c r="J147" s="28" t="s">
        <v>333</v>
      </c>
    </row>
    <row r="148" ht="15.0" customHeight="1">
      <c r="A148" s="22">
        <v>147.0</v>
      </c>
      <c r="B148" s="24" t="s">
        <v>302</v>
      </c>
      <c r="C148" s="24" t="s">
        <v>207</v>
      </c>
      <c r="D148" s="18" t="s">
        <v>21</v>
      </c>
      <c r="E148" s="24" t="s">
        <v>272</v>
      </c>
      <c r="F148" s="25" t="s">
        <v>25</v>
      </c>
      <c r="G148" s="22"/>
      <c r="H148" s="26"/>
      <c r="I148" s="9" t="s">
        <v>31</v>
      </c>
      <c r="J148" s="28"/>
    </row>
    <row r="149" ht="15.0" customHeight="1">
      <c r="A149" s="22">
        <v>148.0</v>
      </c>
      <c r="B149" s="24" t="s">
        <v>303</v>
      </c>
      <c r="C149" s="24" t="s">
        <v>207</v>
      </c>
      <c r="D149" s="18" t="s">
        <v>21</v>
      </c>
      <c r="E149" s="24" t="s">
        <v>272</v>
      </c>
      <c r="F149" s="25" t="s">
        <v>25</v>
      </c>
      <c r="G149" s="22"/>
      <c r="H149" s="26"/>
      <c r="I149" s="9" t="s">
        <v>31</v>
      </c>
      <c r="J149" s="28"/>
    </row>
    <row r="150" ht="15.0" customHeight="1">
      <c r="A150" s="22">
        <v>149.0</v>
      </c>
      <c r="B150" s="24" t="s">
        <v>305</v>
      </c>
      <c r="C150" s="24" t="s">
        <v>207</v>
      </c>
      <c r="D150" s="18" t="s">
        <v>21</v>
      </c>
      <c r="E150" s="24" t="s">
        <v>272</v>
      </c>
      <c r="F150" s="25" t="s">
        <v>25</v>
      </c>
      <c r="G150" s="22"/>
      <c r="H150" s="26"/>
      <c r="I150" s="9" t="s">
        <v>31</v>
      </c>
      <c r="J150" s="28"/>
    </row>
    <row r="151" ht="15.0" customHeight="1">
      <c r="A151" s="22">
        <v>150.0</v>
      </c>
      <c r="B151" s="24" t="s">
        <v>141</v>
      </c>
      <c r="C151" s="24" t="s">
        <v>207</v>
      </c>
      <c r="D151" s="18" t="s">
        <v>21</v>
      </c>
      <c r="E151" s="24" t="s">
        <v>170</v>
      </c>
      <c r="F151" s="25" t="s">
        <v>25</v>
      </c>
      <c r="G151" s="19" t="s">
        <v>32</v>
      </c>
      <c r="H151" s="26"/>
      <c r="I151" s="9" t="s">
        <v>31</v>
      </c>
      <c r="J151" s="28"/>
    </row>
    <row r="152" ht="15.0" customHeight="1">
      <c r="A152" s="22">
        <v>151.0</v>
      </c>
      <c r="B152" s="24" t="s">
        <v>135</v>
      </c>
      <c r="C152" s="24" t="s">
        <v>207</v>
      </c>
      <c r="D152" s="21" t="s">
        <v>23</v>
      </c>
      <c r="E152" s="24" t="s">
        <v>272</v>
      </c>
      <c r="F152" s="25" t="s">
        <v>25</v>
      </c>
      <c r="G152" s="19" t="s">
        <v>32</v>
      </c>
      <c r="H152" s="26"/>
      <c r="I152" s="9" t="s">
        <v>31</v>
      </c>
      <c r="J152" s="28"/>
    </row>
    <row r="153" ht="15.0" customHeight="1">
      <c r="A153" s="22">
        <v>152.0</v>
      </c>
      <c r="B153" s="24" t="s">
        <v>306</v>
      </c>
      <c r="C153" s="24" t="s">
        <v>207</v>
      </c>
      <c r="D153" s="21" t="s">
        <v>23</v>
      </c>
      <c r="E153" s="24" t="s">
        <v>170</v>
      </c>
      <c r="F153" s="25" t="s">
        <v>25</v>
      </c>
      <c r="G153" s="22"/>
      <c r="H153" s="26"/>
      <c r="I153" s="9" t="s">
        <v>31</v>
      </c>
      <c r="J153" s="28"/>
    </row>
    <row r="154" ht="15.0" customHeight="1">
      <c r="A154" s="22">
        <v>153.0</v>
      </c>
      <c r="B154" s="24" t="s">
        <v>307</v>
      </c>
      <c r="C154" s="24" t="s">
        <v>207</v>
      </c>
      <c r="D154" s="21" t="s">
        <v>23</v>
      </c>
      <c r="E154" s="24" t="s">
        <v>170</v>
      </c>
      <c r="F154" s="25" t="s">
        <v>25</v>
      </c>
      <c r="G154" s="22"/>
      <c r="H154" s="26"/>
      <c r="I154" s="9" t="s">
        <v>31</v>
      </c>
      <c r="J154" s="28"/>
    </row>
    <row r="155" ht="15.0" customHeight="1">
      <c r="A155" s="22">
        <v>154.0</v>
      </c>
      <c r="B155" s="24" t="s">
        <v>137</v>
      </c>
      <c r="C155" s="24" t="s">
        <v>207</v>
      </c>
      <c r="D155" s="21" t="s">
        <v>23</v>
      </c>
      <c r="E155" s="24" t="s">
        <v>42</v>
      </c>
      <c r="F155" s="25" t="s">
        <v>25</v>
      </c>
      <c r="G155" s="19" t="s">
        <v>32</v>
      </c>
      <c r="H155" s="26"/>
      <c r="I155" s="9" t="s">
        <v>31</v>
      </c>
      <c r="J155" s="28"/>
    </row>
    <row r="156" ht="15.0" customHeight="1">
      <c r="A156" s="22">
        <v>155.0</v>
      </c>
      <c r="B156" s="24" t="s">
        <v>310</v>
      </c>
      <c r="C156" s="24" t="s">
        <v>207</v>
      </c>
      <c r="D156" s="23" t="s">
        <v>24</v>
      </c>
      <c r="E156" s="24" t="s">
        <v>272</v>
      </c>
      <c r="F156" s="25" t="s">
        <v>25</v>
      </c>
      <c r="G156" s="22"/>
      <c r="H156" s="26"/>
      <c r="I156" s="9" t="s">
        <v>31</v>
      </c>
      <c r="J156" s="28"/>
    </row>
    <row r="157" ht="15.0" customHeight="1">
      <c r="A157" s="22">
        <v>156.0</v>
      </c>
      <c r="B157" s="24" t="s">
        <v>311</v>
      </c>
      <c r="C157" s="24" t="s">
        <v>207</v>
      </c>
      <c r="D157" s="23" t="s">
        <v>24</v>
      </c>
      <c r="E157" s="24" t="s">
        <v>272</v>
      </c>
      <c r="F157" s="25" t="s">
        <v>25</v>
      </c>
      <c r="G157" s="22"/>
      <c r="H157" s="26"/>
      <c r="I157" s="9" t="s">
        <v>31</v>
      </c>
      <c r="J157" s="28"/>
    </row>
    <row r="158" ht="15.0" customHeight="1">
      <c r="A158" s="8">
        <v>157.0</v>
      </c>
      <c r="B158" s="9" t="s">
        <v>132</v>
      </c>
      <c r="C158" s="9" t="s">
        <v>214</v>
      </c>
      <c r="D158" s="18" t="s">
        <v>21</v>
      </c>
      <c r="E158" s="9" t="s">
        <v>42</v>
      </c>
      <c r="F158" s="12" t="s">
        <v>25</v>
      </c>
      <c r="G158" s="19" t="s">
        <v>32</v>
      </c>
      <c r="H158" s="13"/>
      <c r="I158" s="9" t="s">
        <v>31</v>
      </c>
      <c r="J158" s="16"/>
    </row>
    <row r="159" ht="15.0" customHeight="1">
      <c r="A159" s="8">
        <v>158.0</v>
      </c>
      <c r="B159" s="9" t="s">
        <v>124</v>
      </c>
      <c r="C159" s="9" t="s">
        <v>214</v>
      </c>
      <c r="D159" s="18" t="s">
        <v>21</v>
      </c>
      <c r="E159" s="9" t="s">
        <v>272</v>
      </c>
      <c r="F159" s="12" t="s">
        <v>25</v>
      </c>
      <c r="G159" s="19" t="s">
        <v>32</v>
      </c>
      <c r="H159" s="13" t="s">
        <v>207</v>
      </c>
      <c r="I159" s="9" t="s">
        <v>31</v>
      </c>
      <c r="J159" s="16"/>
    </row>
    <row r="160" ht="15.0" customHeight="1">
      <c r="A160" s="8">
        <v>159.0</v>
      </c>
      <c r="B160" s="9" t="s">
        <v>313</v>
      </c>
      <c r="C160" s="9" t="s">
        <v>214</v>
      </c>
      <c r="D160" s="21" t="s">
        <v>23</v>
      </c>
      <c r="E160" s="9" t="s">
        <v>272</v>
      </c>
      <c r="F160" s="12" t="s">
        <v>25</v>
      </c>
      <c r="G160" s="8"/>
      <c r="H160" s="13" t="s">
        <v>201</v>
      </c>
      <c r="I160" s="9" t="s">
        <v>31</v>
      </c>
      <c r="J160" s="16"/>
    </row>
    <row r="161" ht="15.0" customHeight="1">
      <c r="A161" s="22">
        <v>160.0</v>
      </c>
      <c r="B161" s="24" t="s">
        <v>150</v>
      </c>
      <c r="C161" s="24" t="s">
        <v>221</v>
      </c>
      <c r="D161" s="18" t="s">
        <v>21</v>
      </c>
      <c r="E161" s="24" t="s">
        <v>42</v>
      </c>
      <c r="F161" s="25" t="s">
        <v>25</v>
      </c>
      <c r="G161" s="19" t="s">
        <v>32</v>
      </c>
      <c r="H161" s="26"/>
      <c r="I161" s="9" t="s">
        <v>31</v>
      </c>
      <c r="J161" s="28"/>
    </row>
    <row r="162" ht="15.0" customHeight="1">
      <c r="A162" s="22">
        <v>161.0</v>
      </c>
      <c r="B162" s="24" t="s">
        <v>147</v>
      </c>
      <c r="C162" s="24" t="s">
        <v>221</v>
      </c>
      <c r="D162" s="18" t="s">
        <v>21</v>
      </c>
      <c r="E162" s="24" t="s">
        <v>315</v>
      </c>
      <c r="F162" s="25" t="s">
        <v>25</v>
      </c>
      <c r="G162" s="19" t="s">
        <v>32</v>
      </c>
      <c r="H162" s="26"/>
      <c r="I162" s="9" t="s">
        <v>31</v>
      </c>
      <c r="J162" s="28"/>
    </row>
    <row r="163" ht="15.0" customHeight="1">
      <c r="A163" s="22">
        <v>162.0</v>
      </c>
      <c r="B163" s="24" t="s">
        <v>316</v>
      </c>
      <c r="C163" s="24" t="s">
        <v>221</v>
      </c>
      <c r="D163" s="21" t="s">
        <v>23</v>
      </c>
      <c r="E163" s="24" t="s">
        <v>315</v>
      </c>
      <c r="F163" s="25" t="s">
        <v>25</v>
      </c>
      <c r="G163" s="22"/>
      <c r="H163" s="26"/>
      <c r="I163" s="9" t="s">
        <v>31</v>
      </c>
      <c r="J163" s="28"/>
    </row>
    <row r="164" ht="15.0" customHeight="1">
      <c r="A164" s="22">
        <v>163.0</v>
      </c>
      <c r="B164" s="24" t="s">
        <v>317</v>
      </c>
      <c r="C164" s="24" t="s">
        <v>221</v>
      </c>
      <c r="D164" s="21" t="s">
        <v>23</v>
      </c>
      <c r="E164" s="24" t="s">
        <v>315</v>
      </c>
      <c r="F164" s="25" t="s">
        <v>25</v>
      </c>
      <c r="G164" s="22"/>
      <c r="H164" s="26"/>
      <c r="I164" s="9" t="s">
        <v>31</v>
      </c>
      <c r="J164" s="28"/>
    </row>
    <row r="165" ht="15.0" customHeight="1">
      <c r="A165" s="8">
        <v>164.0</v>
      </c>
      <c r="B165" s="10" t="s">
        <v>36</v>
      </c>
      <c r="C165" s="9" t="s">
        <v>51</v>
      </c>
      <c r="D165" s="11" t="s">
        <v>20</v>
      </c>
      <c r="E165" s="9" t="s">
        <v>42</v>
      </c>
      <c r="F165" s="12" t="s">
        <v>25</v>
      </c>
      <c r="G165" s="19" t="s">
        <v>32</v>
      </c>
      <c r="H165" s="13"/>
      <c r="I165" s="34" t="s">
        <v>37</v>
      </c>
      <c r="J165" s="16"/>
    </row>
    <row r="166" ht="15.0" customHeight="1">
      <c r="A166" s="8">
        <v>165.0</v>
      </c>
      <c r="B166" s="9" t="s">
        <v>319</v>
      </c>
      <c r="C166" s="9" t="s">
        <v>51</v>
      </c>
      <c r="D166" s="11" t="s">
        <v>20</v>
      </c>
      <c r="E166" s="9" t="s">
        <v>40</v>
      </c>
      <c r="F166" s="12" t="s">
        <v>25</v>
      </c>
      <c r="G166" s="8"/>
      <c r="H166" s="13"/>
      <c r="I166" s="9" t="s">
        <v>31</v>
      </c>
      <c r="J166" s="16"/>
    </row>
    <row r="167" ht="15.0" customHeight="1">
      <c r="A167" s="8">
        <v>166.0</v>
      </c>
      <c r="B167" s="9" t="s">
        <v>320</v>
      </c>
      <c r="C167" s="9" t="s">
        <v>51</v>
      </c>
      <c r="D167" s="11" t="s">
        <v>20</v>
      </c>
      <c r="E167" s="9" t="s">
        <v>40</v>
      </c>
      <c r="F167" s="12" t="s">
        <v>25</v>
      </c>
      <c r="G167" s="8"/>
      <c r="H167" s="13"/>
      <c r="I167" s="9" t="s">
        <v>31</v>
      </c>
      <c r="J167" s="16"/>
    </row>
    <row r="168" ht="15.0" customHeight="1">
      <c r="A168" s="8">
        <v>167.0</v>
      </c>
      <c r="B168" s="9" t="s">
        <v>321</v>
      </c>
      <c r="C168" s="9" t="s">
        <v>51</v>
      </c>
      <c r="D168" s="11" t="s">
        <v>20</v>
      </c>
      <c r="E168" s="9" t="s">
        <v>40</v>
      </c>
      <c r="F168" s="12" t="s">
        <v>25</v>
      </c>
      <c r="G168" s="8"/>
      <c r="H168" s="13"/>
      <c r="I168" s="9" t="s">
        <v>31</v>
      </c>
      <c r="J168" s="16"/>
    </row>
    <row r="169" ht="15.0" customHeight="1">
      <c r="A169" s="8">
        <v>168.0</v>
      </c>
      <c r="B169" s="9" t="s">
        <v>79</v>
      </c>
      <c r="C169" s="9" t="s">
        <v>51</v>
      </c>
      <c r="D169" s="11" t="s">
        <v>20</v>
      </c>
      <c r="E169" s="9" t="s">
        <v>42</v>
      </c>
      <c r="F169" s="12" t="s">
        <v>25</v>
      </c>
      <c r="G169" s="19" t="s">
        <v>32</v>
      </c>
      <c r="H169" s="13"/>
      <c r="I169" s="9" t="s">
        <v>31</v>
      </c>
      <c r="J169" s="16"/>
    </row>
    <row r="170" ht="15.0" customHeight="1">
      <c r="A170" s="8">
        <v>169.0</v>
      </c>
      <c r="B170" s="9" t="s">
        <v>80</v>
      </c>
      <c r="C170" s="9" t="s">
        <v>51</v>
      </c>
      <c r="D170" s="18" t="s">
        <v>21</v>
      </c>
      <c r="E170" s="9" t="s">
        <v>40</v>
      </c>
      <c r="F170" s="12" t="s">
        <v>25</v>
      </c>
      <c r="G170" s="19" t="s">
        <v>32</v>
      </c>
      <c r="H170" s="13"/>
      <c r="I170" s="9" t="s">
        <v>31</v>
      </c>
      <c r="J170" s="16"/>
    </row>
    <row r="171" ht="15.0" customHeight="1">
      <c r="A171" s="8">
        <v>170.0</v>
      </c>
      <c r="B171" s="9" t="s">
        <v>322</v>
      </c>
      <c r="C171" s="9" t="s">
        <v>51</v>
      </c>
      <c r="D171" s="18" t="s">
        <v>21</v>
      </c>
      <c r="E171" s="9" t="s">
        <v>28</v>
      </c>
      <c r="F171" s="12" t="s">
        <v>25</v>
      </c>
      <c r="G171" s="8"/>
      <c r="H171" s="13"/>
      <c r="I171" s="9" t="s">
        <v>31</v>
      </c>
      <c r="J171" s="16"/>
    </row>
    <row r="172" ht="15.0" customHeight="1">
      <c r="A172" s="8">
        <v>171.0</v>
      </c>
      <c r="B172" s="9" t="s">
        <v>323</v>
      </c>
      <c r="C172" s="9" t="s">
        <v>51</v>
      </c>
      <c r="D172" s="18" t="s">
        <v>21</v>
      </c>
      <c r="E172" s="9" t="s">
        <v>40</v>
      </c>
      <c r="F172" s="12" t="s">
        <v>25</v>
      </c>
      <c r="G172" s="8"/>
      <c r="H172" s="13"/>
      <c r="I172" s="9" t="s">
        <v>31</v>
      </c>
      <c r="J172" s="16"/>
    </row>
    <row r="173" ht="15.0" customHeight="1">
      <c r="A173" s="8">
        <v>172.0</v>
      </c>
      <c r="B173" s="9" t="s">
        <v>324</v>
      </c>
      <c r="C173" s="9" t="s">
        <v>51</v>
      </c>
      <c r="D173" s="21" t="s">
        <v>23</v>
      </c>
      <c r="E173" s="9" t="s">
        <v>28</v>
      </c>
      <c r="F173" s="12" t="s">
        <v>25</v>
      </c>
      <c r="G173" s="8"/>
      <c r="H173" s="13" t="s">
        <v>26</v>
      </c>
      <c r="I173" s="9" t="s">
        <v>31</v>
      </c>
      <c r="J173" s="16"/>
    </row>
    <row r="174" ht="15.0" customHeight="1">
      <c r="A174" s="8">
        <v>173.0</v>
      </c>
      <c r="B174" s="9" t="s">
        <v>49</v>
      </c>
      <c r="C174" s="9" t="s">
        <v>51</v>
      </c>
      <c r="D174" s="21" t="s">
        <v>23</v>
      </c>
      <c r="E174" s="9" t="s">
        <v>28</v>
      </c>
      <c r="F174" s="12" t="s">
        <v>25</v>
      </c>
      <c r="G174" s="19" t="s">
        <v>32</v>
      </c>
      <c r="H174" s="13" t="s">
        <v>174</v>
      </c>
      <c r="I174" s="9" t="s">
        <v>31</v>
      </c>
      <c r="J174" s="16"/>
    </row>
    <row r="175" ht="15.0" customHeight="1">
      <c r="A175" s="22">
        <v>174.0</v>
      </c>
      <c r="B175" s="24" t="s">
        <v>58</v>
      </c>
      <c r="C175" s="24" t="s">
        <v>227</v>
      </c>
      <c r="D175" s="11" t="s">
        <v>20</v>
      </c>
      <c r="E175" s="24" t="s">
        <v>42</v>
      </c>
      <c r="F175" s="25" t="s">
        <v>25</v>
      </c>
      <c r="G175" s="19" t="s">
        <v>32</v>
      </c>
      <c r="H175" s="26"/>
      <c r="I175" s="9" t="s">
        <v>31</v>
      </c>
      <c r="J175" s="28"/>
    </row>
    <row r="176" ht="15.0" customHeight="1">
      <c r="A176" s="22">
        <v>175.0</v>
      </c>
      <c r="B176" s="24" t="s">
        <v>84</v>
      </c>
      <c r="C176" s="24" t="s">
        <v>227</v>
      </c>
      <c r="D176" s="18" t="s">
        <v>21</v>
      </c>
      <c r="E176" s="24" t="s">
        <v>42</v>
      </c>
      <c r="F176" s="25" t="s">
        <v>25</v>
      </c>
      <c r="G176" s="19" t="s">
        <v>32</v>
      </c>
      <c r="H176" s="26"/>
      <c r="I176" s="9" t="s">
        <v>31</v>
      </c>
      <c r="J176" s="28"/>
    </row>
    <row r="177" ht="15.0" customHeight="1">
      <c r="A177" s="22">
        <v>176.0</v>
      </c>
      <c r="B177" s="24" t="s">
        <v>326</v>
      </c>
      <c r="C177" s="24" t="s">
        <v>227</v>
      </c>
      <c r="D177" s="18" t="s">
        <v>21</v>
      </c>
      <c r="E177" s="24" t="s">
        <v>28</v>
      </c>
      <c r="F177" s="25" t="s">
        <v>25</v>
      </c>
      <c r="G177" s="22"/>
      <c r="H177" s="26"/>
      <c r="I177" s="9" t="s">
        <v>31</v>
      </c>
      <c r="J177" s="28"/>
    </row>
    <row r="178" ht="15.0" customHeight="1">
      <c r="A178" s="22">
        <v>177.0</v>
      </c>
      <c r="B178" s="10" t="s">
        <v>327</v>
      </c>
      <c r="C178" s="24" t="s">
        <v>227</v>
      </c>
      <c r="D178" s="18" t="s">
        <v>21</v>
      </c>
      <c r="E178" s="24" t="s">
        <v>28</v>
      </c>
      <c r="F178" s="25" t="s">
        <v>25</v>
      </c>
      <c r="G178" s="22"/>
      <c r="H178" s="26"/>
      <c r="I178" s="34" t="s">
        <v>37</v>
      </c>
      <c r="J178" s="28"/>
    </row>
    <row r="179" ht="15.0" customHeight="1">
      <c r="A179" s="22">
        <v>178.0</v>
      </c>
      <c r="B179" s="24" t="s">
        <v>328</v>
      </c>
      <c r="C179" s="24" t="s">
        <v>227</v>
      </c>
      <c r="D179" s="18" t="s">
        <v>21</v>
      </c>
      <c r="E179" s="24" t="s">
        <v>28</v>
      </c>
      <c r="F179" s="25" t="s">
        <v>25</v>
      </c>
      <c r="G179" s="22"/>
      <c r="H179" s="26"/>
      <c r="I179" s="9" t="s">
        <v>31</v>
      </c>
      <c r="J179" s="28"/>
    </row>
    <row r="180" ht="15.0" customHeight="1">
      <c r="A180" s="22">
        <v>179.0</v>
      </c>
      <c r="B180" s="24" t="s">
        <v>329</v>
      </c>
      <c r="C180" s="24" t="s">
        <v>227</v>
      </c>
      <c r="D180" s="18" t="s">
        <v>21</v>
      </c>
      <c r="E180" s="24" t="s">
        <v>28</v>
      </c>
      <c r="F180" s="25" t="s">
        <v>25</v>
      </c>
      <c r="G180" s="22"/>
      <c r="H180" s="26"/>
      <c r="I180" s="9" t="s">
        <v>31</v>
      </c>
      <c r="J180" s="28"/>
    </row>
    <row r="181" ht="15.0" customHeight="1">
      <c r="A181" s="22">
        <v>180.0</v>
      </c>
      <c r="B181" s="24" t="s">
        <v>45</v>
      </c>
      <c r="C181" s="24" t="s">
        <v>227</v>
      </c>
      <c r="D181" s="18" t="s">
        <v>21</v>
      </c>
      <c r="E181" s="24" t="s">
        <v>28</v>
      </c>
      <c r="F181" s="25" t="s">
        <v>25</v>
      </c>
      <c r="G181" s="19" t="s">
        <v>32</v>
      </c>
      <c r="H181" s="26"/>
      <c r="I181" s="9" t="s">
        <v>31</v>
      </c>
      <c r="J181" s="28"/>
    </row>
    <row r="182" ht="15.0" customHeight="1">
      <c r="A182" s="22">
        <v>181.0</v>
      </c>
      <c r="B182" s="24" t="s">
        <v>330</v>
      </c>
      <c r="C182" s="24" t="s">
        <v>227</v>
      </c>
      <c r="D182" s="21" t="s">
        <v>23</v>
      </c>
      <c r="E182" s="24" t="s">
        <v>28</v>
      </c>
      <c r="F182" s="25" t="s">
        <v>25</v>
      </c>
      <c r="G182" s="22"/>
      <c r="H182" s="26"/>
      <c r="I182" s="9" t="s">
        <v>31</v>
      </c>
      <c r="J182" s="28"/>
    </row>
    <row r="183" ht="15.0" customHeight="1">
      <c r="A183" s="22">
        <v>182.0</v>
      </c>
      <c r="B183" s="24" t="s">
        <v>331</v>
      </c>
      <c r="C183" s="24" t="s">
        <v>227</v>
      </c>
      <c r="D183" s="21" t="s">
        <v>23</v>
      </c>
      <c r="E183" s="24" t="s">
        <v>40</v>
      </c>
      <c r="F183" s="25" t="s">
        <v>25</v>
      </c>
      <c r="G183" s="22"/>
      <c r="H183" s="26"/>
      <c r="I183" s="9" t="s">
        <v>31</v>
      </c>
      <c r="J183" s="28"/>
    </row>
    <row r="184" ht="15.0" customHeight="1">
      <c r="A184" s="22">
        <v>183.0</v>
      </c>
      <c r="B184" s="24" t="s">
        <v>332</v>
      </c>
      <c r="C184" s="24" t="s">
        <v>227</v>
      </c>
      <c r="D184" s="23" t="s">
        <v>24</v>
      </c>
      <c r="E184" s="24" t="s">
        <v>233</v>
      </c>
      <c r="F184" s="25" t="s">
        <v>25</v>
      </c>
      <c r="G184" s="22"/>
      <c r="H184" s="26"/>
      <c r="I184" s="9" t="s">
        <v>31</v>
      </c>
      <c r="J184" s="28"/>
    </row>
    <row r="185" ht="15.0" customHeight="1">
      <c r="A185" s="8">
        <v>184.0</v>
      </c>
      <c r="B185" s="9" t="s">
        <v>175</v>
      </c>
      <c r="C185" s="9" t="s">
        <v>174</v>
      </c>
      <c r="D185" s="18" t="s">
        <v>21</v>
      </c>
      <c r="E185" s="9" t="s">
        <v>42</v>
      </c>
      <c r="F185" s="12" t="s">
        <v>25</v>
      </c>
      <c r="G185" s="19" t="s">
        <v>32</v>
      </c>
      <c r="H185" s="13"/>
      <c r="I185" s="9" t="s">
        <v>31</v>
      </c>
      <c r="J185" s="16"/>
    </row>
    <row r="186" ht="15.0" customHeight="1">
      <c r="A186" s="8">
        <v>185.0</v>
      </c>
      <c r="B186" s="9" t="s">
        <v>173</v>
      </c>
      <c r="C186" s="9" t="s">
        <v>174</v>
      </c>
      <c r="D186" s="18" t="s">
        <v>21</v>
      </c>
      <c r="E186" s="9" t="s">
        <v>233</v>
      </c>
      <c r="F186" s="12" t="s">
        <v>25</v>
      </c>
      <c r="G186" s="19" t="s">
        <v>32</v>
      </c>
      <c r="H186" s="13"/>
      <c r="I186" s="9" t="s">
        <v>31</v>
      </c>
      <c r="J186" s="16"/>
    </row>
    <row r="187" ht="15.0" customHeight="1">
      <c r="A187" s="22">
        <v>186.0</v>
      </c>
      <c r="B187" s="24" t="s">
        <v>336</v>
      </c>
      <c r="C187" s="24" t="s">
        <v>231</v>
      </c>
      <c r="D187" s="18" t="s">
        <v>21</v>
      </c>
      <c r="E187" s="24" t="s">
        <v>57</v>
      </c>
      <c r="F187" s="25" t="s">
        <v>25</v>
      </c>
      <c r="G187" s="22"/>
      <c r="H187" s="26"/>
      <c r="I187" s="9" t="s">
        <v>31</v>
      </c>
      <c r="J187" s="28"/>
    </row>
    <row r="188" ht="15.0" customHeight="1">
      <c r="A188" s="22">
        <v>187.0</v>
      </c>
      <c r="B188" s="24" t="s">
        <v>337</v>
      </c>
      <c r="C188" s="24" t="s">
        <v>231</v>
      </c>
      <c r="D188" s="18" t="s">
        <v>21</v>
      </c>
      <c r="E188" s="24" t="s">
        <v>170</v>
      </c>
      <c r="F188" s="25" t="s">
        <v>25</v>
      </c>
      <c r="G188" s="22"/>
      <c r="H188" s="26"/>
      <c r="I188" s="9" t="s">
        <v>31</v>
      </c>
      <c r="J188" s="28"/>
    </row>
    <row r="189" ht="15.0" customHeight="1">
      <c r="A189" s="22">
        <v>188.0</v>
      </c>
      <c r="B189" s="24" t="s">
        <v>338</v>
      </c>
      <c r="C189" s="24" t="s">
        <v>231</v>
      </c>
      <c r="D189" s="18" t="s">
        <v>21</v>
      </c>
      <c r="E189" s="24" t="s">
        <v>118</v>
      </c>
      <c r="F189" s="25" t="s">
        <v>25</v>
      </c>
      <c r="G189" s="22"/>
      <c r="H189" s="26"/>
      <c r="I189" s="9" t="s">
        <v>31</v>
      </c>
      <c r="J189" s="28"/>
    </row>
    <row r="190" ht="15.0" customHeight="1">
      <c r="A190" s="22">
        <v>189.0</v>
      </c>
      <c r="B190" s="24" t="s">
        <v>339</v>
      </c>
      <c r="C190" s="24" t="s">
        <v>231</v>
      </c>
      <c r="D190" s="18" t="s">
        <v>21</v>
      </c>
      <c r="E190" s="24" t="s">
        <v>192</v>
      </c>
      <c r="F190" s="25" t="s">
        <v>25</v>
      </c>
      <c r="G190" s="22"/>
      <c r="H190" s="26" t="s">
        <v>192</v>
      </c>
      <c r="I190" s="9" t="s">
        <v>31</v>
      </c>
      <c r="J190" s="28"/>
    </row>
    <row r="191" ht="15.0" customHeight="1">
      <c r="A191" s="22">
        <v>190.0</v>
      </c>
      <c r="B191" s="24" t="s">
        <v>340</v>
      </c>
      <c r="C191" s="24" t="s">
        <v>231</v>
      </c>
      <c r="D191" s="23" t="s">
        <v>24</v>
      </c>
      <c r="E191" s="24" t="s">
        <v>57</v>
      </c>
      <c r="F191" s="25" t="s">
        <v>25</v>
      </c>
      <c r="G191" s="22"/>
      <c r="H191" s="26"/>
      <c r="I191" s="9" t="s">
        <v>31</v>
      </c>
      <c r="J191" s="28"/>
    </row>
    <row r="192" ht="15.0" customHeight="1">
      <c r="A192" s="8">
        <v>191.0</v>
      </c>
      <c r="B192" s="9" t="s">
        <v>215</v>
      </c>
      <c r="C192" s="9" t="s">
        <v>232</v>
      </c>
      <c r="D192" s="11" t="s">
        <v>20</v>
      </c>
      <c r="E192" s="9" t="s">
        <v>42</v>
      </c>
      <c r="F192" s="12" t="s">
        <v>25</v>
      </c>
      <c r="G192" s="19" t="s">
        <v>32</v>
      </c>
      <c r="H192" s="13"/>
      <c r="I192" s="9" t="s">
        <v>31</v>
      </c>
      <c r="J192" s="16"/>
    </row>
    <row r="193" ht="15.0" customHeight="1">
      <c r="A193" s="8">
        <v>192.0</v>
      </c>
      <c r="B193" s="9" t="s">
        <v>213</v>
      </c>
      <c r="C193" s="9" t="s">
        <v>232</v>
      </c>
      <c r="D193" s="11" t="s">
        <v>20</v>
      </c>
      <c r="E193" s="9" t="s">
        <v>42</v>
      </c>
      <c r="F193" s="12" t="s">
        <v>25</v>
      </c>
      <c r="G193" s="19" t="s">
        <v>32</v>
      </c>
      <c r="H193" s="13"/>
      <c r="I193" s="9" t="s">
        <v>31</v>
      </c>
      <c r="J193" s="16"/>
    </row>
    <row r="194" ht="15.0" customHeight="1">
      <c r="A194" s="8">
        <v>193.0</v>
      </c>
      <c r="B194" s="9" t="s">
        <v>217</v>
      </c>
      <c r="C194" s="9" t="s">
        <v>232</v>
      </c>
      <c r="D194" s="11" t="s">
        <v>20</v>
      </c>
      <c r="E194" s="9" t="s">
        <v>42</v>
      </c>
      <c r="F194" s="12" t="s">
        <v>25</v>
      </c>
      <c r="G194" s="19" t="s">
        <v>32</v>
      </c>
      <c r="H194" s="13"/>
      <c r="I194" s="9" t="s">
        <v>31</v>
      </c>
      <c r="J194" s="16"/>
    </row>
    <row r="195" ht="15.0" customHeight="1">
      <c r="A195" s="8">
        <v>194.0</v>
      </c>
      <c r="B195" s="9" t="s">
        <v>219</v>
      </c>
      <c r="C195" s="9" t="s">
        <v>232</v>
      </c>
      <c r="D195" s="18" t="s">
        <v>21</v>
      </c>
      <c r="E195" s="9" t="s">
        <v>42</v>
      </c>
      <c r="F195" s="12" t="s">
        <v>25</v>
      </c>
      <c r="G195" s="19" t="s">
        <v>32</v>
      </c>
      <c r="H195" s="13"/>
      <c r="I195" s="9" t="s">
        <v>31</v>
      </c>
      <c r="J195" s="16"/>
    </row>
    <row r="196" ht="15.0" customHeight="1">
      <c r="A196" s="22">
        <v>195.0</v>
      </c>
      <c r="B196" s="24" t="s">
        <v>343</v>
      </c>
      <c r="C196" s="24" t="s">
        <v>235</v>
      </c>
      <c r="D196" s="11" t="s">
        <v>20</v>
      </c>
      <c r="E196" s="24" t="s">
        <v>40</v>
      </c>
      <c r="F196" s="25" t="s">
        <v>25</v>
      </c>
      <c r="G196" s="22"/>
      <c r="H196" s="26"/>
      <c r="I196" s="9" t="s">
        <v>31</v>
      </c>
      <c r="J196" s="28"/>
    </row>
    <row r="197" ht="15.0" customHeight="1">
      <c r="A197" s="22">
        <v>196.0</v>
      </c>
      <c r="B197" s="24" t="s">
        <v>344</v>
      </c>
      <c r="C197" s="24" t="s">
        <v>235</v>
      </c>
      <c r="D197" s="21" t="s">
        <v>23</v>
      </c>
      <c r="E197" s="24" t="s">
        <v>28</v>
      </c>
      <c r="F197" s="25" t="s">
        <v>25</v>
      </c>
      <c r="G197" s="22"/>
      <c r="H197" s="26" t="s">
        <v>51</v>
      </c>
      <c r="I197" s="9" t="s">
        <v>31</v>
      </c>
      <c r="J197" s="28"/>
    </row>
    <row r="198" ht="15.0" customHeight="1">
      <c r="A198" s="22">
        <v>197.0</v>
      </c>
      <c r="B198" s="24" t="s">
        <v>345</v>
      </c>
      <c r="C198" s="24" t="s">
        <v>235</v>
      </c>
      <c r="D198" s="23" t="s">
        <v>24</v>
      </c>
      <c r="E198" s="24" t="s">
        <v>28</v>
      </c>
      <c r="F198" s="25" t="s">
        <v>25</v>
      </c>
      <c r="G198" s="22"/>
      <c r="H198" s="26" t="s">
        <v>51</v>
      </c>
      <c r="I198" s="9" t="s">
        <v>31</v>
      </c>
      <c r="J198" s="28"/>
    </row>
    <row r="199" ht="15.0" customHeight="1">
      <c r="A199" s="22">
        <v>198.0</v>
      </c>
      <c r="B199" s="24" t="s">
        <v>346</v>
      </c>
      <c r="C199" s="24" t="s">
        <v>235</v>
      </c>
      <c r="D199" s="23" t="s">
        <v>24</v>
      </c>
      <c r="E199" s="24" t="s">
        <v>28</v>
      </c>
      <c r="F199" s="25" t="s">
        <v>25</v>
      </c>
      <c r="G199" s="22"/>
      <c r="H199" s="26" t="s">
        <v>51</v>
      </c>
      <c r="I199" s="9" t="s">
        <v>31</v>
      </c>
      <c r="J199" s="28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autoFilter ref="$A$1:$J$199"/>
  <dataValidations>
    <dataValidation type="list" allowBlank="1" showErrorMessage="1" sqref="I2:I199">
      <formula1>"Done,Not Started,Blocked,In Progress,Revision"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</hyperlinks>
  <printOptions/>
  <pageMargins bottom="1.0" footer="0.0" header="0.0" left="0.75" right="0.75" top="1.0"/>
  <pageSetup paperSize="9" orientation="portrait"/>
  <drawing r:id="rId19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6.0"/>
    <col customWidth="1" min="3" max="3" width="11.0"/>
    <col customWidth="1" min="4" max="4" width="26.0"/>
    <col customWidth="1" min="5" max="5" width="8.0"/>
    <col customWidth="1" min="6" max="6" width="9.0"/>
    <col customWidth="1" min="7" max="7" width="13.0"/>
    <col customWidth="1" min="8" max="26" width="8.71"/>
  </cols>
  <sheetData>
    <row r="1" ht="15.0" customHeight="1">
      <c r="A1" s="2" t="s">
        <v>1</v>
      </c>
      <c r="B1" s="2" t="s">
        <v>4</v>
      </c>
      <c r="C1" s="2" t="s">
        <v>5</v>
      </c>
      <c r="D1" s="2" t="s">
        <v>7</v>
      </c>
      <c r="E1" s="2" t="s">
        <v>8</v>
      </c>
      <c r="F1" s="2" t="s">
        <v>9</v>
      </c>
      <c r="G1" s="2" t="s">
        <v>10</v>
      </c>
    </row>
    <row r="2" ht="15.0" customHeight="1">
      <c r="A2" s="5" t="s">
        <v>11</v>
      </c>
      <c r="B2" s="6"/>
      <c r="C2" s="6"/>
      <c r="D2" s="6"/>
      <c r="E2" s="6"/>
      <c r="F2" s="6"/>
      <c r="G2" s="7"/>
    </row>
    <row r="3" ht="15.0" customHeight="1">
      <c r="A3" s="8">
        <v>1.0</v>
      </c>
      <c r="B3" s="9" t="s">
        <v>17</v>
      </c>
      <c r="C3" s="11" t="s">
        <v>20</v>
      </c>
      <c r="D3" s="9" t="s">
        <v>28</v>
      </c>
      <c r="E3" s="12" t="s">
        <v>25</v>
      </c>
      <c r="F3" s="8"/>
      <c r="G3" s="9" t="s">
        <v>31</v>
      </c>
    </row>
    <row r="4" ht="15.0" customHeight="1">
      <c r="A4" s="8">
        <v>1.0</v>
      </c>
      <c r="B4" s="9" t="s">
        <v>34</v>
      </c>
      <c r="C4" s="11" t="s">
        <v>20</v>
      </c>
      <c r="D4" s="9" t="s">
        <v>28</v>
      </c>
      <c r="E4" s="12" t="s">
        <v>25</v>
      </c>
      <c r="F4" s="8"/>
      <c r="G4" s="9" t="s">
        <v>31</v>
      </c>
    </row>
    <row r="5" ht="15.0" customHeight="1">
      <c r="A5" s="8">
        <v>1.0</v>
      </c>
      <c r="B5" s="9" t="s">
        <v>39</v>
      </c>
      <c r="C5" s="11" t="s">
        <v>20</v>
      </c>
      <c r="D5" s="9" t="s">
        <v>40</v>
      </c>
      <c r="E5" s="12" t="s">
        <v>25</v>
      </c>
      <c r="F5" s="8"/>
      <c r="G5" s="9" t="s">
        <v>31</v>
      </c>
    </row>
    <row r="6" ht="15.0" customHeight="1">
      <c r="A6" s="8">
        <v>1.0</v>
      </c>
      <c r="B6" s="9" t="s">
        <v>22</v>
      </c>
      <c r="C6" s="11" t="s">
        <v>20</v>
      </c>
      <c r="D6" s="9" t="s">
        <v>28</v>
      </c>
      <c r="E6" s="12" t="s">
        <v>25</v>
      </c>
      <c r="F6" s="17" t="s">
        <v>32</v>
      </c>
      <c r="G6" s="9" t="s">
        <v>31</v>
      </c>
    </row>
    <row r="7" ht="15.0" customHeight="1">
      <c r="A7" s="8">
        <v>1.0</v>
      </c>
      <c r="B7" s="9" t="s">
        <v>44</v>
      </c>
      <c r="C7" s="11" t="s">
        <v>20</v>
      </c>
      <c r="D7" s="9" t="s">
        <v>40</v>
      </c>
      <c r="E7" s="12" t="s">
        <v>25</v>
      </c>
      <c r="F7" s="17" t="s">
        <v>32</v>
      </c>
      <c r="G7" s="9" t="s">
        <v>31</v>
      </c>
    </row>
    <row r="8" ht="15.0" customHeight="1">
      <c r="A8" s="8">
        <v>1.0</v>
      </c>
      <c r="B8" s="9" t="s">
        <v>48</v>
      </c>
      <c r="C8" s="18" t="s">
        <v>21</v>
      </c>
      <c r="D8" s="9" t="s">
        <v>28</v>
      </c>
      <c r="E8" s="12" t="s">
        <v>25</v>
      </c>
      <c r="F8" s="17" t="s">
        <v>32</v>
      </c>
      <c r="G8" s="9" t="s">
        <v>31</v>
      </c>
    </row>
    <row r="9" ht="15.0" customHeight="1">
      <c r="A9" s="8">
        <v>1.0</v>
      </c>
      <c r="B9" s="9" t="s">
        <v>53</v>
      </c>
      <c r="C9" s="18" t="s">
        <v>21</v>
      </c>
      <c r="D9" s="9" t="s">
        <v>42</v>
      </c>
      <c r="E9" s="12" t="s">
        <v>25</v>
      </c>
      <c r="F9" s="17" t="s">
        <v>32</v>
      </c>
      <c r="G9" s="9" t="s">
        <v>31</v>
      </c>
    </row>
    <row r="10" ht="15.0" customHeight="1">
      <c r="A10" s="8">
        <v>1.0</v>
      </c>
      <c r="B10" s="9" t="s">
        <v>55</v>
      </c>
      <c r="C10" s="18" t="s">
        <v>21</v>
      </c>
      <c r="D10" s="9" t="s">
        <v>57</v>
      </c>
      <c r="E10" s="12" t="s">
        <v>25</v>
      </c>
      <c r="F10" s="8"/>
      <c r="G10" s="9" t="s">
        <v>31</v>
      </c>
    </row>
    <row r="11" ht="15.0" customHeight="1">
      <c r="A11" s="8">
        <v>1.0</v>
      </c>
      <c r="B11" s="9" t="s">
        <v>59</v>
      </c>
      <c r="C11" s="18" t="s">
        <v>21</v>
      </c>
      <c r="D11" s="9" t="s">
        <v>28</v>
      </c>
      <c r="E11" s="12" t="s">
        <v>25</v>
      </c>
      <c r="F11" s="8"/>
      <c r="G11" s="9" t="s">
        <v>31</v>
      </c>
    </row>
    <row r="12" ht="15.0" customHeight="1">
      <c r="A12" s="8">
        <v>1.0</v>
      </c>
      <c r="B12" s="9" t="s">
        <v>61</v>
      </c>
      <c r="C12" s="18" t="s">
        <v>21</v>
      </c>
      <c r="D12" s="9" t="s">
        <v>40</v>
      </c>
      <c r="E12" s="12" t="s">
        <v>25</v>
      </c>
      <c r="F12" s="8"/>
      <c r="G12" s="9" t="s">
        <v>31</v>
      </c>
    </row>
    <row r="13" ht="15.0" customHeight="1">
      <c r="A13" s="8">
        <v>1.0</v>
      </c>
      <c r="B13" s="9" t="s">
        <v>63</v>
      </c>
      <c r="C13" s="18" t="s">
        <v>21</v>
      </c>
      <c r="D13" s="9" t="s">
        <v>57</v>
      </c>
      <c r="E13" s="12" t="s">
        <v>25</v>
      </c>
      <c r="F13" s="17" t="s">
        <v>32</v>
      </c>
      <c r="G13" s="9" t="s">
        <v>31</v>
      </c>
    </row>
    <row r="14" ht="15.0" customHeight="1">
      <c r="A14" s="8">
        <v>1.0</v>
      </c>
      <c r="B14" s="9" t="s">
        <v>68</v>
      </c>
      <c r="C14" s="18" t="s">
        <v>21</v>
      </c>
      <c r="D14" s="9" t="s">
        <v>40</v>
      </c>
      <c r="E14" s="12" t="s">
        <v>25</v>
      </c>
      <c r="F14" s="8"/>
      <c r="G14" s="9" t="s">
        <v>31</v>
      </c>
    </row>
    <row r="15" ht="15.0" customHeight="1">
      <c r="A15" s="8">
        <v>1.0</v>
      </c>
      <c r="B15" s="9" t="s">
        <v>70</v>
      </c>
      <c r="C15" s="18" t="s">
        <v>21</v>
      </c>
      <c r="D15" s="9" t="s">
        <v>71</v>
      </c>
      <c r="E15" s="12" t="s">
        <v>25</v>
      </c>
      <c r="F15" s="8"/>
      <c r="G15" s="9" t="s">
        <v>31</v>
      </c>
    </row>
    <row r="16" ht="15.0" customHeight="1">
      <c r="A16" s="5" t="s">
        <v>74</v>
      </c>
      <c r="B16" s="6"/>
      <c r="C16" s="6"/>
      <c r="D16" s="6"/>
      <c r="E16" s="6"/>
      <c r="F16" s="6"/>
      <c r="G16" s="7"/>
    </row>
    <row r="17" ht="15.0" customHeight="1">
      <c r="A17" s="8">
        <v>2.0</v>
      </c>
      <c r="B17" s="9" t="s">
        <v>77</v>
      </c>
      <c r="C17" s="11" t="s">
        <v>20</v>
      </c>
      <c r="D17" s="9" t="s">
        <v>42</v>
      </c>
      <c r="E17" s="12" t="s">
        <v>25</v>
      </c>
      <c r="F17" s="17" t="s">
        <v>32</v>
      </c>
      <c r="G17" s="9" t="s">
        <v>31</v>
      </c>
    </row>
    <row r="18" ht="15.0" customHeight="1">
      <c r="A18" s="8">
        <v>2.0</v>
      </c>
      <c r="B18" s="9" t="s">
        <v>83</v>
      </c>
      <c r="C18" s="11" t="s">
        <v>20</v>
      </c>
      <c r="D18" s="9" t="s">
        <v>57</v>
      </c>
      <c r="E18" s="12" t="s">
        <v>25</v>
      </c>
      <c r="F18" s="8"/>
      <c r="G18" s="9" t="s">
        <v>31</v>
      </c>
    </row>
    <row r="19" ht="15.0" customHeight="1">
      <c r="A19" s="8">
        <v>2.0</v>
      </c>
      <c r="B19" s="9" t="s">
        <v>85</v>
      </c>
      <c r="C19" s="21" t="s">
        <v>23</v>
      </c>
      <c r="D19" s="9" t="s">
        <v>57</v>
      </c>
      <c r="E19" s="12" t="s">
        <v>25</v>
      </c>
      <c r="F19" s="8"/>
      <c r="G19" s="9" t="s">
        <v>31</v>
      </c>
    </row>
    <row r="20" ht="15.0" customHeight="1">
      <c r="A20" s="8">
        <v>2.0</v>
      </c>
      <c r="B20" s="9" t="s">
        <v>91</v>
      </c>
      <c r="C20" s="23" t="s">
        <v>24</v>
      </c>
      <c r="D20" s="9" t="s">
        <v>57</v>
      </c>
      <c r="E20" s="12" t="s">
        <v>25</v>
      </c>
      <c r="F20" s="8"/>
      <c r="G20" s="9" t="s">
        <v>31</v>
      </c>
    </row>
    <row r="21" ht="15.0" customHeight="1">
      <c r="A21" s="5" t="s">
        <v>95</v>
      </c>
      <c r="B21" s="6"/>
      <c r="C21" s="6"/>
      <c r="D21" s="6"/>
      <c r="E21" s="6"/>
      <c r="F21" s="6"/>
      <c r="G21" s="7"/>
    </row>
    <row r="22" ht="15.0" customHeight="1">
      <c r="A22" s="8">
        <v>3.0</v>
      </c>
      <c r="B22" s="9" t="s">
        <v>90</v>
      </c>
      <c r="C22" s="18" t="s">
        <v>21</v>
      </c>
      <c r="D22" s="9" t="s">
        <v>42</v>
      </c>
      <c r="E22" s="12" t="s">
        <v>25</v>
      </c>
      <c r="F22" s="17" t="s">
        <v>32</v>
      </c>
      <c r="G22" s="9" t="s">
        <v>31</v>
      </c>
    </row>
    <row r="23" ht="15.0" customHeight="1">
      <c r="A23" s="8">
        <v>3.0</v>
      </c>
      <c r="B23" s="9" t="s">
        <v>87</v>
      </c>
      <c r="C23" s="21" t="s">
        <v>23</v>
      </c>
      <c r="D23" s="9" t="s">
        <v>40</v>
      </c>
      <c r="E23" s="12" t="s">
        <v>25</v>
      </c>
      <c r="F23" s="17" t="s">
        <v>32</v>
      </c>
      <c r="G23" s="9" t="s">
        <v>31</v>
      </c>
    </row>
    <row r="24" ht="15.0" customHeight="1">
      <c r="A24" s="8">
        <v>3.0</v>
      </c>
      <c r="B24" s="9" t="s">
        <v>103</v>
      </c>
      <c r="C24" s="21" t="s">
        <v>23</v>
      </c>
      <c r="D24" s="9" t="s">
        <v>28</v>
      </c>
      <c r="E24" s="12" t="s">
        <v>25</v>
      </c>
      <c r="F24" s="8"/>
      <c r="G24" s="9" t="s">
        <v>31</v>
      </c>
    </row>
    <row r="25" ht="15.0" customHeight="1">
      <c r="A25" s="8">
        <v>3.0</v>
      </c>
      <c r="B25" s="9" t="s">
        <v>93</v>
      </c>
      <c r="C25" s="23" t="s">
        <v>24</v>
      </c>
      <c r="D25" s="9" t="s">
        <v>40</v>
      </c>
      <c r="E25" s="12" t="s">
        <v>25</v>
      </c>
      <c r="F25" s="17" t="s">
        <v>32</v>
      </c>
      <c r="G25" s="9" t="s">
        <v>31</v>
      </c>
    </row>
    <row r="26" ht="15.0" customHeight="1">
      <c r="A26" s="5" t="s">
        <v>108</v>
      </c>
      <c r="B26" s="6"/>
      <c r="C26" s="6"/>
      <c r="D26" s="6"/>
      <c r="E26" s="6"/>
      <c r="F26" s="6"/>
      <c r="G26" s="7"/>
    </row>
    <row r="27" ht="15.0" customHeight="1">
      <c r="A27" s="8">
        <v>4.0</v>
      </c>
      <c r="B27" s="9" t="s">
        <v>69</v>
      </c>
      <c r="C27" s="11" t="s">
        <v>20</v>
      </c>
      <c r="D27" s="9" t="s">
        <v>42</v>
      </c>
      <c r="E27" s="12" t="s">
        <v>25</v>
      </c>
      <c r="F27" s="17" t="s">
        <v>32</v>
      </c>
      <c r="G27" s="9" t="s">
        <v>31</v>
      </c>
    </row>
    <row r="28" ht="15.0" customHeight="1">
      <c r="A28" s="8">
        <v>4.0</v>
      </c>
      <c r="B28" s="9" t="s">
        <v>62</v>
      </c>
      <c r="C28" s="18" t="s">
        <v>21</v>
      </c>
      <c r="D28" s="9" t="s">
        <v>42</v>
      </c>
      <c r="E28" s="12" t="s">
        <v>25</v>
      </c>
      <c r="F28" s="17" t="s">
        <v>32</v>
      </c>
      <c r="G28" s="9" t="s">
        <v>31</v>
      </c>
    </row>
    <row r="29" ht="15.0" customHeight="1">
      <c r="A29" s="8">
        <v>4.0</v>
      </c>
      <c r="B29" s="9" t="s">
        <v>64</v>
      </c>
      <c r="C29" s="18" t="s">
        <v>21</v>
      </c>
      <c r="D29" s="9" t="s">
        <v>28</v>
      </c>
      <c r="E29" s="12" t="s">
        <v>25</v>
      </c>
      <c r="F29" s="17" t="s">
        <v>32</v>
      </c>
      <c r="G29" s="9" t="s">
        <v>31</v>
      </c>
    </row>
    <row r="30" ht="15.0" customHeight="1">
      <c r="A30" s="8">
        <v>4.0</v>
      </c>
      <c r="B30" s="9" t="s">
        <v>67</v>
      </c>
      <c r="C30" s="18" t="s">
        <v>21</v>
      </c>
      <c r="D30" s="9" t="s">
        <v>42</v>
      </c>
      <c r="E30" s="12" t="s">
        <v>25</v>
      </c>
      <c r="F30" s="17" t="s">
        <v>32</v>
      </c>
      <c r="G30" s="9" t="s">
        <v>31</v>
      </c>
    </row>
    <row r="31" ht="15.0" customHeight="1">
      <c r="A31" s="8">
        <v>4.0</v>
      </c>
      <c r="B31" s="9" t="s">
        <v>72</v>
      </c>
      <c r="C31" s="21" t="s">
        <v>23</v>
      </c>
      <c r="D31" s="9" t="s">
        <v>118</v>
      </c>
      <c r="E31" s="12" t="s">
        <v>25</v>
      </c>
      <c r="F31" s="17" t="s">
        <v>32</v>
      </c>
      <c r="G31" s="9" t="s">
        <v>31</v>
      </c>
    </row>
    <row r="32" ht="15.0" customHeight="1">
      <c r="A32" s="8">
        <v>4.0</v>
      </c>
      <c r="B32" s="9" t="s">
        <v>122</v>
      </c>
      <c r="C32" s="23" t="s">
        <v>24</v>
      </c>
      <c r="D32" s="9" t="s">
        <v>28</v>
      </c>
      <c r="E32" s="12" t="s">
        <v>25</v>
      </c>
      <c r="F32" s="8"/>
      <c r="G32" s="9" t="s">
        <v>31</v>
      </c>
    </row>
    <row r="33" ht="15.0" customHeight="1">
      <c r="A33" s="5" t="s">
        <v>125</v>
      </c>
      <c r="B33" s="6"/>
      <c r="C33" s="6"/>
      <c r="D33" s="6"/>
      <c r="E33" s="6"/>
      <c r="F33" s="6"/>
      <c r="G33" s="7"/>
    </row>
    <row r="34" ht="15.0" customHeight="1">
      <c r="A34" s="8">
        <v>5.0</v>
      </c>
      <c r="B34" s="9" t="s">
        <v>127</v>
      </c>
      <c r="C34" s="11" t="s">
        <v>20</v>
      </c>
      <c r="D34" s="9" t="s">
        <v>57</v>
      </c>
      <c r="E34" s="12" t="s">
        <v>25</v>
      </c>
      <c r="F34" s="8"/>
      <c r="G34" s="9" t="s">
        <v>31</v>
      </c>
    </row>
    <row r="35" ht="15.0" customHeight="1">
      <c r="A35" s="8">
        <v>5.0</v>
      </c>
      <c r="B35" s="9" t="s">
        <v>130</v>
      </c>
      <c r="C35" s="18" t="s">
        <v>21</v>
      </c>
      <c r="D35" s="9" t="s">
        <v>57</v>
      </c>
      <c r="E35" s="12" t="s">
        <v>25</v>
      </c>
      <c r="F35" s="8"/>
      <c r="G35" s="9" t="s">
        <v>31</v>
      </c>
    </row>
    <row r="36" ht="15.0" customHeight="1">
      <c r="A36" s="8">
        <v>5.0</v>
      </c>
      <c r="B36" s="9" t="s">
        <v>113</v>
      </c>
      <c r="C36" s="21" t="s">
        <v>23</v>
      </c>
      <c r="D36" s="9" t="s">
        <v>57</v>
      </c>
      <c r="E36" s="12" t="s">
        <v>25</v>
      </c>
      <c r="F36" s="17" t="s">
        <v>32</v>
      </c>
      <c r="G36" s="9" t="s">
        <v>31</v>
      </c>
    </row>
    <row r="37" ht="15.0" customHeight="1">
      <c r="A37" s="8">
        <v>5.0</v>
      </c>
      <c r="B37" s="9" t="s">
        <v>112</v>
      </c>
      <c r="C37" s="21" t="s">
        <v>23</v>
      </c>
      <c r="D37" s="9" t="s">
        <v>57</v>
      </c>
      <c r="E37" s="12" t="s">
        <v>25</v>
      </c>
      <c r="F37" s="17" t="s">
        <v>32</v>
      </c>
      <c r="G37" s="9" t="s">
        <v>31</v>
      </c>
    </row>
    <row r="38" ht="15.0" customHeight="1">
      <c r="A38" s="8">
        <v>5.0</v>
      </c>
      <c r="B38" s="9" t="s">
        <v>138</v>
      </c>
      <c r="C38" s="21" t="s">
        <v>23</v>
      </c>
      <c r="D38" s="9" t="s">
        <v>57</v>
      </c>
      <c r="E38" s="12" t="s">
        <v>25</v>
      </c>
      <c r="F38" s="8"/>
      <c r="G38" s="9" t="s">
        <v>31</v>
      </c>
    </row>
    <row r="39" ht="15.0" customHeight="1">
      <c r="A39" s="8">
        <v>5.0</v>
      </c>
      <c r="B39" s="9" t="s">
        <v>140</v>
      </c>
      <c r="C39" s="23" t="s">
        <v>24</v>
      </c>
      <c r="D39" s="9" t="s">
        <v>57</v>
      </c>
      <c r="E39" s="12" t="s">
        <v>25</v>
      </c>
      <c r="F39" s="8"/>
      <c r="G39" s="9" t="s">
        <v>31</v>
      </c>
    </row>
    <row r="40" ht="15.0" customHeight="1">
      <c r="A40" s="8">
        <v>5.0</v>
      </c>
      <c r="B40" s="9" t="s">
        <v>116</v>
      </c>
      <c r="C40" s="23" t="s">
        <v>24</v>
      </c>
      <c r="D40" s="9" t="s">
        <v>57</v>
      </c>
      <c r="E40" s="12" t="s">
        <v>25</v>
      </c>
      <c r="F40" s="17" t="s">
        <v>32</v>
      </c>
      <c r="G40" s="9" t="s">
        <v>31</v>
      </c>
    </row>
    <row r="41" ht="15.0" customHeight="1">
      <c r="A41" s="8">
        <v>5.0</v>
      </c>
      <c r="B41" s="9" t="s">
        <v>146</v>
      </c>
      <c r="C41" s="23" t="s">
        <v>24</v>
      </c>
      <c r="D41" s="9" t="s">
        <v>57</v>
      </c>
      <c r="E41" s="12" t="s">
        <v>25</v>
      </c>
      <c r="F41" s="8"/>
      <c r="G41" s="9" t="s">
        <v>31</v>
      </c>
    </row>
    <row r="42" ht="15.0" customHeight="1">
      <c r="A42" s="5" t="s">
        <v>149</v>
      </c>
      <c r="B42" s="6"/>
      <c r="C42" s="6"/>
      <c r="D42" s="6"/>
      <c r="E42" s="6"/>
      <c r="F42" s="6"/>
      <c r="G42" s="7"/>
    </row>
    <row r="43" ht="15.0" customHeight="1">
      <c r="A43" s="8">
        <v>6.0</v>
      </c>
      <c r="B43" s="9" t="s">
        <v>151</v>
      </c>
      <c r="C43" s="21" t="s">
        <v>23</v>
      </c>
      <c r="D43" s="9" t="s">
        <v>118</v>
      </c>
      <c r="E43" s="12" t="s">
        <v>25</v>
      </c>
      <c r="F43" s="17" t="s">
        <v>32</v>
      </c>
      <c r="G43" s="9" t="s">
        <v>31</v>
      </c>
    </row>
    <row r="44" ht="15.0" customHeight="1">
      <c r="A44" s="5" t="s">
        <v>153</v>
      </c>
      <c r="B44" s="6"/>
      <c r="C44" s="6"/>
      <c r="D44" s="6"/>
      <c r="E44" s="6"/>
      <c r="F44" s="6"/>
      <c r="G44" s="7"/>
    </row>
    <row r="45" ht="15.0" customHeight="1">
      <c r="A45" s="8">
        <v>7.0</v>
      </c>
      <c r="B45" s="9" t="s">
        <v>120</v>
      </c>
      <c r="C45" s="23" t="s">
        <v>24</v>
      </c>
      <c r="D45" s="9" t="s">
        <v>118</v>
      </c>
      <c r="E45" s="12" t="s">
        <v>25</v>
      </c>
      <c r="F45" s="17" t="s">
        <v>32</v>
      </c>
      <c r="G45" s="9" t="s">
        <v>31</v>
      </c>
    </row>
    <row r="46" ht="15.0" customHeight="1">
      <c r="A46" s="5" t="s">
        <v>156</v>
      </c>
      <c r="B46" s="6"/>
      <c r="C46" s="6"/>
      <c r="D46" s="6"/>
      <c r="E46" s="6"/>
      <c r="F46" s="6"/>
      <c r="G46" s="7"/>
    </row>
    <row r="47" ht="15.0" customHeight="1">
      <c r="A47" s="8">
        <v>8.0</v>
      </c>
      <c r="B47" s="9" t="s">
        <v>159</v>
      </c>
      <c r="C47" s="18" t="s">
        <v>21</v>
      </c>
      <c r="D47" s="9" t="s">
        <v>160</v>
      </c>
      <c r="E47" s="12" t="s">
        <v>25</v>
      </c>
      <c r="F47" s="8"/>
      <c r="G47" s="9" t="s">
        <v>31</v>
      </c>
    </row>
    <row r="48" ht="15.0" customHeight="1">
      <c r="A48" s="8">
        <v>8.0</v>
      </c>
      <c r="B48" s="9" t="s">
        <v>43</v>
      </c>
      <c r="C48" s="18" t="s">
        <v>21</v>
      </c>
      <c r="D48" s="9" t="s">
        <v>42</v>
      </c>
      <c r="E48" s="12" t="s">
        <v>25</v>
      </c>
      <c r="F48" s="17" t="s">
        <v>32</v>
      </c>
      <c r="G48" s="9" t="s">
        <v>31</v>
      </c>
    </row>
    <row r="49" ht="15.0" customHeight="1">
      <c r="A49" s="5" t="s">
        <v>165</v>
      </c>
      <c r="B49" s="6"/>
      <c r="C49" s="6"/>
      <c r="D49" s="6"/>
      <c r="E49" s="6"/>
      <c r="F49" s="6"/>
      <c r="G49" s="7"/>
    </row>
    <row r="50" ht="15.0" customHeight="1">
      <c r="A50" s="8">
        <v>9.0</v>
      </c>
      <c r="B50" s="9" t="s">
        <v>166</v>
      </c>
      <c r="C50" s="11" t="s">
        <v>20</v>
      </c>
      <c r="D50" s="9" t="s">
        <v>160</v>
      </c>
      <c r="E50" s="12" t="s">
        <v>25</v>
      </c>
      <c r="F50" s="8"/>
      <c r="G50" s="9" t="s">
        <v>31</v>
      </c>
    </row>
    <row r="51" ht="15.0" customHeight="1">
      <c r="A51" s="8">
        <v>9.0</v>
      </c>
      <c r="B51" s="9" t="s">
        <v>169</v>
      </c>
      <c r="C51" s="11" t="s">
        <v>20</v>
      </c>
      <c r="D51" s="9" t="s">
        <v>170</v>
      </c>
      <c r="E51" s="12" t="s">
        <v>25</v>
      </c>
      <c r="F51" s="8"/>
      <c r="G51" s="9" t="s">
        <v>31</v>
      </c>
    </row>
    <row r="52" ht="15.0" customHeight="1">
      <c r="A52" s="8">
        <v>9.0</v>
      </c>
      <c r="B52" s="9" t="s">
        <v>107</v>
      </c>
      <c r="C52" s="18" t="s">
        <v>21</v>
      </c>
      <c r="D52" s="9" t="s">
        <v>42</v>
      </c>
      <c r="E52" s="12" t="s">
        <v>25</v>
      </c>
      <c r="F52" s="17" t="s">
        <v>32</v>
      </c>
      <c r="G52" s="9" t="s">
        <v>31</v>
      </c>
    </row>
    <row r="53" ht="15.0" customHeight="1">
      <c r="A53" s="8">
        <v>9.0</v>
      </c>
      <c r="B53" s="9" t="s">
        <v>176</v>
      </c>
      <c r="C53" s="21" t="s">
        <v>23</v>
      </c>
      <c r="D53" s="9" t="s">
        <v>160</v>
      </c>
      <c r="E53" s="12" t="s">
        <v>25</v>
      </c>
      <c r="F53" s="8"/>
      <c r="G53" s="9" t="s">
        <v>31</v>
      </c>
    </row>
    <row r="54" ht="15.0" customHeight="1">
      <c r="A54" s="8">
        <v>9.0</v>
      </c>
      <c r="B54" s="9" t="s">
        <v>178</v>
      </c>
      <c r="C54" s="21" t="s">
        <v>23</v>
      </c>
      <c r="D54" s="9" t="s">
        <v>160</v>
      </c>
      <c r="E54" s="12" t="s">
        <v>25</v>
      </c>
      <c r="F54" s="8"/>
      <c r="G54" s="9" t="s">
        <v>31</v>
      </c>
    </row>
    <row r="55" ht="15.0" customHeight="1">
      <c r="A55" s="8">
        <v>9.0</v>
      </c>
      <c r="B55" s="9" t="s">
        <v>110</v>
      </c>
      <c r="C55" s="21" t="s">
        <v>23</v>
      </c>
      <c r="D55" s="9" t="s">
        <v>160</v>
      </c>
      <c r="E55" s="12" t="s">
        <v>25</v>
      </c>
      <c r="F55" s="17" t="s">
        <v>32</v>
      </c>
      <c r="G55" s="9" t="s">
        <v>31</v>
      </c>
    </row>
    <row r="56" ht="15.0" customHeight="1">
      <c r="A56" s="8">
        <v>9.0</v>
      </c>
      <c r="B56" s="9" t="s">
        <v>182</v>
      </c>
      <c r="C56" s="23" t="s">
        <v>24</v>
      </c>
      <c r="D56" s="9" t="s">
        <v>160</v>
      </c>
      <c r="E56" s="12" t="s">
        <v>25</v>
      </c>
      <c r="F56" s="8"/>
      <c r="G56" s="9" t="s">
        <v>31</v>
      </c>
    </row>
    <row r="57" ht="15.0" customHeight="1">
      <c r="A57" s="8">
        <v>9.0</v>
      </c>
      <c r="B57" s="9" t="s">
        <v>186</v>
      </c>
      <c r="C57" s="23" t="s">
        <v>24</v>
      </c>
      <c r="D57" s="9" t="s">
        <v>160</v>
      </c>
      <c r="E57" s="12" t="s">
        <v>25</v>
      </c>
      <c r="F57" s="8"/>
      <c r="G57" s="9" t="s">
        <v>31</v>
      </c>
    </row>
    <row r="58" ht="15.0" customHeight="1">
      <c r="A58" s="5" t="s">
        <v>188</v>
      </c>
      <c r="B58" s="6"/>
      <c r="C58" s="6"/>
      <c r="D58" s="6"/>
      <c r="E58" s="6"/>
      <c r="F58" s="6"/>
      <c r="G58" s="7"/>
    </row>
    <row r="59" ht="15.0" customHeight="1">
      <c r="A59" s="8">
        <v>10.0</v>
      </c>
      <c r="B59" s="9" t="s">
        <v>189</v>
      </c>
      <c r="C59" s="18" t="s">
        <v>21</v>
      </c>
      <c r="D59" s="9" t="s">
        <v>191</v>
      </c>
      <c r="E59" s="12" t="s">
        <v>25</v>
      </c>
      <c r="F59" s="8"/>
      <c r="G59" s="9" t="s">
        <v>31</v>
      </c>
    </row>
    <row r="60" ht="15.0" customHeight="1">
      <c r="A60" s="8">
        <v>10.0</v>
      </c>
      <c r="B60" s="9" t="s">
        <v>121</v>
      </c>
      <c r="C60" s="18" t="s">
        <v>21</v>
      </c>
      <c r="D60" s="9" t="s">
        <v>191</v>
      </c>
      <c r="E60" s="12" t="s">
        <v>25</v>
      </c>
      <c r="F60" s="8"/>
      <c r="G60" s="9" t="s">
        <v>31</v>
      </c>
    </row>
    <row r="61" ht="15.0" customHeight="1">
      <c r="A61" s="5" t="s">
        <v>196</v>
      </c>
      <c r="B61" s="6"/>
      <c r="C61" s="6"/>
      <c r="D61" s="6"/>
      <c r="E61" s="6"/>
      <c r="F61" s="6"/>
      <c r="G61" s="7"/>
    </row>
    <row r="62" ht="15.0" customHeight="1">
      <c r="A62" s="8">
        <v>11.0</v>
      </c>
      <c r="B62" s="9" t="s">
        <v>198</v>
      </c>
      <c r="C62" s="18" t="s">
        <v>21</v>
      </c>
      <c r="D62" s="9" t="s">
        <v>200</v>
      </c>
      <c r="E62" s="12" t="s">
        <v>25</v>
      </c>
      <c r="F62" s="8"/>
      <c r="G62" s="9" t="s">
        <v>31</v>
      </c>
    </row>
    <row r="63" ht="15.0" customHeight="1">
      <c r="A63" s="8">
        <v>11.0</v>
      </c>
      <c r="B63" s="9" t="s">
        <v>204</v>
      </c>
      <c r="C63" s="18" t="s">
        <v>21</v>
      </c>
      <c r="D63" s="9" t="s">
        <v>200</v>
      </c>
      <c r="E63" s="12" t="s">
        <v>25</v>
      </c>
      <c r="F63" s="8"/>
      <c r="G63" s="9" t="s">
        <v>31</v>
      </c>
    </row>
    <row r="64" ht="15.0" customHeight="1">
      <c r="A64" s="8">
        <v>11.0</v>
      </c>
      <c r="B64" s="9" t="s">
        <v>206</v>
      </c>
      <c r="C64" s="18" t="s">
        <v>21</v>
      </c>
      <c r="D64" s="9" t="s">
        <v>42</v>
      </c>
      <c r="E64" s="12" t="s">
        <v>25</v>
      </c>
      <c r="F64" s="17" t="s">
        <v>32</v>
      </c>
      <c r="G64" s="9" t="s">
        <v>31</v>
      </c>
    </row>
    <row r="65" ht="15.0" customHeight="1">
      <c r="A65" s="8">
        <v>11.0</v>
      </c>
      <c r="B65" s="9" t="s">
        <v>209</v>
      </c>
      <c r="C65" s="21" t="s">
        <v>23</v>
      </c>
      <c r="D65" s="9" t="s">
        <v>28</v>
      </c>
      <c r="E65" s="12" t="s">
        <v>25</v>
      </c>
      <c r="F65" s="8"/>
      <c r="G65" s="9" t="s">
        <v>31</v>
      </c>
    </row>
    <row r="66" ht="15.0" customHeight="1">
      <c r="A66" s="5" t="s">
        <v>212</v>
      </c>
      <c r="B66" s="6"/>
      <c r="C66" s="6"/>
      <c r="D66" s="6"/>
      <c r="E66" s="6"/>
      <c r="F66" s="6"/>
      <c r="G66" s="7"/>
    </row>
    <row r="67" ht="15.0" customHeight="1">
      <c r="A67" s="8">
        <v>12.0</v>
      </c>
      <c r="B67" s="9" t="s">
        <v>60</v>
      </c>
      <c r="C67" s="18" t="s">
        <v>21</v>
      </c>
      <c r="D67" s="9" t="s">
        <v>42</v>
      </c>
      <c r="E67" s="12" t="s">
        <v>25</v>
      </c>
      <c r="F67" s="17" t="s">
        <v>32</v>
      </c>
      <c r="G67" s="9" t="s">
        <v>31</v>
      </c>
    </row>
    <row r="68" ht="15.0" customHeight="1">
      <c r="A68" s="8">
        <v>12.0</v>
      </c>
      <c r="B68" s="9" t="s">
        <v>216</v>
      </c>
      <c r="C68" s="18" t="s">
        <v>21</v>
      </c>
      <c r="D68" s="9" t="s">
        <v>191</v>
      </c>
      <c r="E68" s="12" t="s">
        <v>25</v>
      </c>
      <c r="F68" s="8"/>
      <c r="G68" s="9" t="s">
        <v>31</v>
      </c>
    </row>
    <row r="69" ht="15.0" customHeight="1">
      <c r="A69" s="8">
        <v>12.0</v>
      </c>
      <c r="B69" s="9" t="s">
        <v>218</v>
      </c>
      <c r="C69" s="18" t="s">
        <v>21</v>
      </c>
      <c r="D69" s="9" t="s">
        <v>40</v>
      </c>
      <c r="E69" s="12" t="s">
        <v>25</v>
      </c>
      <c r="F69" s="8"/>
      <c r="G69" s="9" t="s">
        <v>31</v>
      </c>
    </row>
    <row r="70" ht="15.0" customHeight="1">
      <c r="A70" s="8">
        <v>12.0</v>
      </c>
      <c r="B70" s="9" t="s">
        <v>158</v>
      </c>
      <c r="C70" s="18" t="s">
        <v>21</v>
      </c>
      <c r="D70" s="9" t="s">
        <v>42</v>
      </c>
      <c r="E70" s="12" t="s">
        <v>25</v>
      </c>
      <c r="F70" s="17" t="s">
        <v>32</v>
      </c>
      <c r="G70" s="9" t="s">
        <v>31</v>
      </c>
    </row>
    <row r="71" ht="15.0" customHeight="1">
      <c r="A71" s="8">
        <v>12.0</v>
      </c>
      <c r="B71" s="9" t="s">
        <v>223</v>
      </c>
      <c r="C71" s="21" t="s">
        <v>23</v>
      </c>
      <c r="D71" s="9" t="s">
        <v>191</v>
      </c>
      <c r="E71" s="12" t="s">
        <v>25</v>
      </c>
      <c r="F71" s="8"/>
      <c r="G71" s="9" t="s">
        <v>31</v>
      </c>
    </row>
    <row r="72" ht="15.0" customHeight="1">
      <c r="A72" s="8">
        <v>12.0</v>
      </c>
      <c r="B72" s="9" t="s">
        <v>224</v>
      </c>
      <c r="C72" s="21" t="s">
        <v>23</v>
      </c>
      <c r="D72" s="9" t="s">
        <v>191</v>
      </c>
      <c r="E72" s="12" t="s">
        <v>25</v>
      </c>
      <c r="F72" s="8"/>
      <c r="G72" s="9" t="s">
        <v>31</v>
      </c>
    </row>
    <row r="73" ht="15.0" customHeight="1">
      <c r="A73" s="8">
        <v>12.0</v>
      </c>
      <c r="B73" s="9" t="s">
        <v>152</v>
      </c>
      <c r="C73" s="21" t="s">
        <v>23</v>
      </c>
      <c r="D73" s="9" t="s">
        <v>201</v>
      </c>
      <c r="E73" s="12" t="s">
        <v>25</v>
      </c>
      <c r="F73" s="17" t="s">
        <v>32</v>
      </c>
      <c r="G73" s="9" t="s">
        <v>31</v>
      </c>
    </row>
    <row r="74" ht="15.0" customHeight="1">
      <c r="A74" s="8">
        <v>12.0</v>
      </c>
      <c r="B74" s="9" t="s">
        <v>225</v>
      </c>
      <c r="C74" s="23" t="s">
        <v>24</v>
      </c>
      <c r="D74" s="9" t="s">
        <v>191</v>
      </c>
      <c r="E74" s="12" t="s">
        <v>25</v>
      </c>
      <c r="F74" s="8"/>
      <c r="G74" s="9" t="s">
        <v>31</v>
      </c>
    </row>
    <row r="75" ht="15.0" customHeight="1">
      <c r="A75" s="5" t="s">
        <v>226</v>
      </c>
      <c r="B75" s="6"/>
      <c r="C75" s="6"/>
      <c r="D75" s="6"/>
      <c r="E75" s="6"/>
      <c r="F75" s="6"/>
      <c r="G75" s="7"/>
    </row>
    <row r="76" ht="15.0" customHeight="1">
      <c r="A76" s="8">
        <v>13.0</v>
      </c>
      <c r="B76" s="9" t="s">
        <v>228</v>
      </c>
      <c r="C76" s="11" t="s">
        <v>20</v>
      </c>
      <c r="D76" s="9" t="s">
        <v>191</v>
      </c>
      <c r="E76" s="12" t="s">
        <v>25</v>
      </c>
      <c r="F76" s="8"/>
      <c r="G76" s="9" t="s">
        <v>31</v>
      </c>
    </row>
    <row r="77" ht="15.0" customHeight="1">
      <c r="A77" s="8">
        <v>13.0</v>
      </c>
      <c r="B77" s="9" t="s">
        <v>179</v>
      </c>
      <c r="C77" s="18" t="s">
        <v>21</v>
      </c>
      <c r="D77" s="9" t="s">
        <v>191</v>
      </c>
      <c r="E77" s="12" t="s">
        <v>25</v>
      </c>
      <c r="F77" s="17" t="s">
        <v>32</v>
      </c>
      <c r="G77" s="9" t="s">
        <v>31</v>
      </c>
    </row>
    <row r="78" ht="15.0" customHeight="1">
      <c r="A78" s="8">
        <v>13.0</v>
      </c>
      <c r="B78" s="9" t="s">
        <v>190</v>
      </c>
      <c r="C78" s="18" t="s">
        <v>21</v>
      </c>
      <c r="D78" s="9" t="s">
        <v>155</v>
      </c>
      <c r="E78" s="12" t="s">
        <v>25</v>
      </c>
      <c r="F78" s="17" t="s">
        <v>32</v>
      </c>
      <c r="G78" s="9" t="s">
        <v>31</v>
      </c>
    </row>
    <row r="79" ht="15.0" customHeight="1">
      <c r="A79" s="8">
        <v>13.0</v>
      </c>
      <c r="B79" s="9" t="s">
        <v>229</v>
      </c>
      <c r="C79" s="18" t="s">
        <v>21</v>
      </c>
      <c r="D79" s="9" t="s">
        <v>155</v>
      </c>
      <c r="E79" s="12" t="s">
        <v>25</v>
      </c>
      <c r="F79" s="8"/>
      <c r="G79" s="9" t="s">
        <v>31</v>
      </c>
    </row>
    <row r="80" ht="15.0" customHeight="1">
      <c r="A80" s="8">
        <v>13.0</v>
      </c>
      <c r="B80" s="9" t="s">
        <v>208</v>
      </c>
      <c r="C80" s="18" t="s">
        <v>21</v>
      </c>
      <c r="D80" s="9" t="s">
        <v>42</v>
      </c>
      <c r="E80" s="12" t="s">
        <v>25</v>
      </c>
      <c r="F80" s="17" t="s">
        <v>32</v>
      </c>
      <c r="G80" s="9" t="s">
        <v>31</v>
      </c>
    </row>
    <row r="81" ht="15.0" customHeight="1">
      <c r="A81" s="8">
        <v>13.0</v>
      </c>
      <c r="B81" s="9" t="s">
        <v>187</v>
      </c>
      <c r="C81" s="18" t="s">
        <v>21</v>
      </c>
      <c r="D81" s="9" t="s">
        <v>42</v>
      </c>
      <c r="E81" s="12" t="s">
        <v>25</v>
      </c>
      <c r="F81" s="17" t="s">
        <v>32</v>
      </c>
      <c r="G81" s="9" t="s">
        <v>31</v>
      </c>
    </row>
    <row r="82" ht="15.0" customHeight="1">
      <c r="A82" s="8">
        <v>13.0</v>
      </c>
      <c r="B82" s="9" t="s">
        <v>230</v>
      </c>
      <c r="C82" s="18" t="s">
        <v>21</v>
      </c>
      <c r="D82" s="9" t="s">
        <v>155</v>
      </c>
      <c r="E82" s="12" t="s">
        <v>25</v>
      </c>
      <c r="F82" s="8"/>
      <c r="G82" s="9" t="s">
        <v>31</v>
      </c>
    </row>
    <row r="83" ht="15.0" customHeight="1">
      <c r="A83" s="8">
        <v>13.0</v>
      </c>
      <c r="B83" s="9" t="s">
        <v>181</v>
      </c>
      <c r="C83" s="18" t="s">
        <v>21</v>
      </c>
      <c r="D83" s="9" t="s">
        <v>155</v>
      </c>
      <c r="E83" s="12" t="s">
        <v>25</v>
      </c>
      <c r="F83" s="17" t="s">
        <v>32</v>
      </c>
      <c r="G83" s="9" t="s">
        <v>31</v>
      </c>
    </row>
    <row r="84" ht="15.0" customHeight="1">
      <c r="A84" s="8">
        <v>13.0</v>
      </c>
      <c r="B84" s="9" t="s">
        <v>185</v>
      </c>
      <c r="C84" s="18" t="s">
        <v>21</v>
      </c>
      <c r="D84" s="9" t="s">
        <v>42</v>
      </c>
      <c r="E84" s="12" t="s">
        <v>25</v>
      </c>
      <c r="F84" s="17" t="s">
        <v>32</v>
      </c>
      <c r="G84" s="9" t="s">
        <v>31</v>
      </c>
    </row>
    <row r="85" ht="15.0" customHeight="1">
      <c r="A85" s="8">
        <v>13.0</v>
      </c>
      <c r="B85" s="9" t="s">
        <v>96</v>
      </c>
      <c r="C85" s="18" t="s">
        <v>21</v>
      </c>
      <c r="D85" s="9" t="s">
        <v>40</v>
      </c>
      <c r="E85" s="12" t="s">
        <v>25</v>
      </c>
      <c r="F85" s="17" t="s">
        <v>32</v>
      </c>
      <c r="G85" s="9" t="s">
        <v>31</v>
      </c>
    </row>
    <row r="86" ht="15.0" customHeight="1">
      <c r="A86" s="8">
        <v>13.0</v>
      </c>
      <c r="B86" s="9" t="s">
        <v>194</v>
      </c>
      <c r="C86" s="18" t="s">
        <v>21</v>
      </c>
      <c r="D86" s="9" t="s">
        <v>42</v>
      </c>
      <c r="E86" s="12" t="s">
        <v>25</v>
      </c>
      <c r="F86" s="17" t="s">
        <v>32</v>
      </c>
      <c r="G86" s="9" t="s">
        <v>31</v>
      </c>
    </row>
    <row r="87" ht="15.0" customHeight="1">
      <c r="A87" s="8">
        <v>13.0</v>
      </c>
      <c r="B87" s="9" t="s">
        <v>210</v>
      </c>
      <c r="C87" s="18" t="s">
        <v>21</v>
      </c>
      <c r="D87" s="9" t="s">
        <v>233</v>
      </c>
      <c r="E87" s="12" t="s">
        <v>25</v>
      </c>
      <c r="F87" s="17" t="s">
        <v>32</v>
      </c>
      <c r="G87" s="9" t="s">
        <v>31</v>
      </c>
    </row>
    <row r="88" ht="15.0" customHeight="1">
      <c r="A88" s="8">
        <v>13.0</v>
      </c>
      <c r="B88" s="9" t="s">
        <v>234</v>
      </c>
      <c r="C88" s="18" t="s">
        <v>21</v>
      </c>
      <c r="D88" s="9" t="s">
        <v>191</v>
      </c>
      <c r="E88" s="12" t="s">
        <v>25</v>
      </c>
      <c r="F88" s="8"/>
      <c r="G88" s="9" t="s">
        <v>31</v>
      </c>
    </row>
    <row r="89" ht="15.0" customHeight="1">
      <c r="A89" s="8">
        <v>13.0</v>
      </c>
      <c r="B89" s="9" t="s">
        <v>97</v>
      </c>
      <c r="C89" s="18" t="s">
        <v>21</v>
      </c>
      <c r="D89" s="9" t="s">
        <v>42</v>
      </c>
      <c r="E89" s="12" t="s">
        <v>25</v>
      </c>
      <c r="F89" s="17" t="s">
        <v>32</v>
      </c>
      <c r="G89" s="9" t="s">
        <v>31</v>
      </c>
    </row>
    <row r="90" ht="15.0" customHeight="1">
      <c r="A90" s="8">
        <v>13.0</v>
      </c>
      <c r="B90" s="9" t="s">
        <v>203</v>
      </c>
      <c r="C90" s="18" t="s">
        <v>21</v>
      </c>
      <c r="D90" s="9" t="s">
        <v>155</v>
      </c>
      <c r="E90" s="12" t="s">
        <v>25</v>
      </c>
      <c r="F90" s="17" t="s">
        <v>32</v>
      </c>
      <c r="G90" s="9" t="s">
        <v>31</v>
      </c>
    </row>
    <row r="91" ht="15.0" customHeight="1">
      <c r="A91" s="8">
        <v>13.0</v>
      </c>
      <c r="B91" s="9" t="s">
        <v>236</v>
      </c>
      <c r="C91" s="21" t="s">
        <v>23</v>
      </c>
      <c r="D91" s="9" t="s">
        <v>191</v>
      </c>
      <c r="E91" s="12" t="s">
        <v>25</v>
      </c>
      <c r="F91" s="8"/>
      <c r="G91" s="9" t="s">
        <v>31</v>
      </c>
    </row>
    <row r="92" ht="15.0" customHeight="1">
      <c r="A92" s="8">
        <v>13.0</v>
      </c>
      <c r="B92" s="9" t="s">
        <v>237</v>
      </c>
      <c r="C92" s="21" t="s">
        <v>23</v>
      </c>
      <c r="D92" s="9" t="s">
        <v>155</v>
      </c>
      <c r="E92" s="12" t="s">
        <v>25</v>
      </c>
      <c r="F92" s="8"/>
      <c r="G92" s="9" t="s">
        <v>31</v>
      </c>
    </row>
    <row r="93" ht="15.0" customHeight="1">
      <c r="A93" s="8">
        <v>13.0</v>
      </c>
      <c r="B93" s="9" t="s">
        <v>238</v>
      </c>
      <c r="C93" s="21" t="s">
        <v>23</v>
      </c>
      <c r="D93" s="9" t="s">
        <v>155</v>
      </c>
      <c r="E93" s="12" t="s">
        <v>25</v>
      </c>
      <c r="F93" s="8"/>
      <c r="G93" s="9" t="s">
        <v>31</v>
      </c>
    </row>
    <row r="94" ht="15.0" customHeight="1">
      <c r="A94" s="8">
        <v>13.0</v>
      </c>
      <c r="B94" s="9" t="s">
        <v>239</v>
      </c>
      <c r="C94" s="21" t="s">
        <v>23</v>
      </c>
      <c r="D94" s="9" t="s">
        <v>155</v>
      </c>
      <c r="E94" s="12" t="s">
        <v>25</v>
      </c>
      <c r="F94" s="8"/>
      <c r="G94" s="9" t="s">
        <v>31</v>
      </c>
    </row>
    <row r="95" ht="15.0" customHeight="1">
      <c r="A95" s="8">
        <v>13.0</v>
      </c>
      <c r="B95" s="9" t="s">
        <v>240</v>
      </c>
      <c r="C95" s="21" t="s">
        <v>23</v>
      </c>
      <c r="D95" s="9" t="s">
        <v>155</v>
      </c>
      <c r="E95" s="12" t="s">
        <v>25</v>
      </c>
      <c r="F95" s="8"/>
      <c r="G95" s="9" t="s">
        <v>31</v>
      </c>
    </row>
    <row r="96" ht="15.0" customHeight="1">
      <c r="A96" s="8">
        <v>13.0</v>
      </c>
      <c r="B96" s="9" t="s">
        <v>241</v>
      </c>
      <c r="C96" s="21" t="s">
        <v>23</v>
      </c>
      <c r="D96" s="9" t="s">
        <v>155</v>
      </c>
      <c r="E96" s="12" t="s">
        <v>25</v>
      </c>
      <c r="F96" s="8"/>
      <c r="G96" s="9" t="s">
        <v>31</v>
      </c>
    </row>
    <row r="97" ht="15.0" customHeight="1">
      <c r="A97" s="8">
        <v>13.0</v>
      </c>
      <c r="B97" s="9" t="s">
        <v>242</v>
      </c>
      <c r="C97" s="21" t="s">
        <v>23</v>
      </c>
      <c r="D97" s="9" t="s">
        <v>155</v>
      </c>
      <c r="E97" s="12" t="s">
        <v>25</v>
      </c>
      <c r="F97" s="8"/>
      <c r="G97" s="9" t="s">
        <v>31</v>
      </c>
    </row>
    <row r="98" ht="15.0" customHeight="1">
      <c r="A98" s="8">
        <v>13.0</v>
      </c>
      <c r="B98" s="9" t="s">
        <v>243</v>
      </c>
      <c r="C98" s="21" t="s">
        <v>23</v>
      </c>
      <c r="D98" s="9" t="s">
        <v>155</v>
      </c>
      <c r="E98" s="12" t="s">
        <v>25</v>
      </c>
      <c r="F98" s="8"/>
      <c r="G98" s="9" t="s">
        <v>31</v>
      </c>
    </row>
    <row r="99" ht="15.0" customHeight="1">
      <c r="A99" s="8">
        <v>13.0</v>
      </c>
      <c r="B99" s="9" t="s">
        <v>195</v>
      </c>
      <c r="C99" s="21" t="s">
        <v>23</v>
      </c>
      <c r="D99" s="9" t="s">
        <v>155</v>
      </c>
      <c r="E99" s="12" t="s">
        <v>25</v>
      </c>
      <c r="F99" s="17" t="s">
        <v>32</v>
      </c>
      <c r="G99" s="9" t="s">
        <v>31</v>
      </c>
    </row>
    <row r="100" ht="15.0" customHeight="1">
      <c r="A100" s="8">
        <v>13.0</v>
      </c>
      <c r="B100" s="9" t="s">
        <v>244</v>
      </c>
      <c r="C100" s="23" t="s">
        <v>24</v>
      </c>
      <c r="D100" s="9" t="s">
        <v>155</v>
      </c>
      <c r="E100" s="12" t="s">
        <v>25</v>
      </c>
      <c r="F100" s="8"/>
      <c r="G100" s="9" t="s">
        <v>31</v>
      </c>
    </row>
    <row r="101" ht="15.0" customHeight="1">
      <c r="A101" s="8">
        <v>13.0</v>
      </c>
      <c r="B101" s="9" t="s">
        <v>245</v>
      </c>
      <c r="C101" s="23" t="s">
        <v>24</v>
      </c>
      <c r="D101" s="9" t="s">
        <v>155</v>
      </c>
      <c r="E101" s="12" t="s">
        <v>25</v>
      </c>
      <c r="F101" s="8"/>
      <c r="G101" s="9" t="s">
        <v>31</v>
      </c>
    </row>
    <row r="102" ht="15.0" customHeight="1">
      <c r="A102" s="8">
        <v>13.0</v>
      </c>
      <c r="B102" s="9" t="s">
        <v>199</v>
      </c>
      <c r="C102" s="23" t="s">
        <v>24</v>
      </c>
      <c r="D102" s="9" t="s">
        <v>155</v>
      </c>
      <c r="E102" s="12" t="s">
        <v>25</v>
      </c>
      <c r="F102" s="17" t="s">
        <v>32</v>
      </c>
      <c r="G102" s="9" t="s">
        <v>31</v>
      </c>
    </row>
    <row r="103" ht="15.0" customHeight="1">
      <c r="A103" s="8">
        <v>13.0</v>
      </c>
      <c r="B103" s="9" t="s">
        <v>246</v>
      </c>
      <c r="C103" s="23" t="s">
        <v>24</v>
      </c>
      <c r="D103" s="9" t="s">
        <v>155</v>
      </c>
      <c r="E103" s="12" t="s">
        <v>25</v>
      </c>
      <c r="F103" s="8"/>
      <c r="G103" s="9" t="s">
        <v>31</v>
      </c>
    </row>
    <row r="104" ht="15.0" customHeight="1">
      <c r="A104" s="8">
        <v>13.0</v>
      </c>
      <c r="B104" s="9" t="s">
        <v>247</v>
      </c>
      <c r="C104" s="23" t="s">
        <v>24</v>
      </c>
      <c r="D104" s="9" t="s">
        <v>155</v>
      </c>
      <c r="E104" s="12" t="s">
        <v>25</v>
      </c>
      <c r="F104" s="8"/>
      <c r="G104" s="9" t="s">
        <v>31</v>
      </c>
    </row>
    <row r="105" ht="15.0" customHeight="1">
      <c r="A105" s="8">
        <v>13.0</v>
      </c>
      <c r="B105" s="9" t="s">
        <v>248</v>
      </c>
      <c r="C105" s="23" t="s">
        <v>24</v>
      </c>
      <c r="D105" s="9" t="s">
        <v>191</v>
      </c>
      <c r="E105" s="12" t="s">
        <v>25</v>
      </c>
      <c r="F105" s="8"/>
      <c r="G105" s="9" t="s">
        <v>31</v>
      </c>
    </row>
    <row r="106" ht="15.0" customHeight="1">
      <c r="A106" s="5" t="s">
        <v>249</v>
      </c>
      <c r="B106" s="6"/>
      <c r="C106" s="6"/>
      <c r="D106" s="6"/>
      <c r="E106" s="6"/>
      <c r="F106" s="6"/>
      <c r="G106" s="7"/>
    </row>
    <row r="107" ht="15.0" customHeight="1">
      <c r="A107" s="8">
        <v>14.0</v>
      </c>
      <c r="B107" s="9" t="s">
        <v>250</v>
      </c>
      <c r="C107" s="18" t="s">
        <v>21</v>
      </c>
      <c r="D107" s="9" t="s">
        <v>28</v>
      </c>
      <c r="E107" s="12" t="s">
        <v>25</v>
      </c>
      <c r="F107" s="8"/>
      <c r="G107" s="9" t="s">
        <v>31</v>
      </c>
    </row>
    <row r="108" ht="15.0" customHeight="1">
      <c r="A108" s="8">
        <v>14.0</v>
      </c>
      <c r="B108" s="9" t="s">
        <v>75</v>
      </c>
      <c r="C108" s="18" t="s">
        <v>21</v>
      </c>
      <c r="D108" s="9" t="s">
        <v>28</v>
      </c>
      <c r="E108" s="12" t="s">
        <v>25</v>
      </c>
      <c r="F108" s="17" t="s">
        <v>32</v>
      </c>
      <c r="G108" s="9" t="s">
        <v>31</v>
      </c>
    </row>
    <row r="109" ht="15.0" customHeight="1">
      <c r="A109" s="5" t="s">
        <v>251</v>
      </c>
      <c r="B109" s="6"/>
      <c r="C109" s="6"/>
      <c r="D109" s="6"/>
      <c r="E109" s="6"/>
      <c r="F109" s="6"/>
      <c r="G109" s="7"/>
    </row>
    <row r="110" ht="15.0" customHeight="1">
      <c r="A110" s="8">
        <v>15.0</v>
      </c>
      <c r="B110" s="9" t="s">
        <v>177</v>
      </c>
      <c r="C110" s="21" t="s">
        <v>23</v>
      </c>
      <c r="D110" s="9" t="s">
        <v>42</v>
      </c>
      <c r="E110" s="12" t="s">
        <v>25</v>
      </c>
      <c r="F110" s="17" t="s">
        <v>32</v>
      </c>
      <c r="G110" s="9" t="s">
        <v>31</v>
      </c>
    </row>
    <row r="111" ht="15.0" customHeight="1">
      <c r="A111" s="8">
        <v>15.0</v>
      </c>
      <c r="B111" s="9" t="s">
        <v>252</v>
      </c>
      <c r="C111" s="21" t="s">
        <v>23</v>
      </c>
      <c r="D111" s="9" t="s">
        <v>233</v>
      </c>
      <c r="E111" s="12" t="s">
        <v>25</v>
      </c>
      <c r="F111" s="8"/>
      <c r="G111" s="9" t="s">
        <v>31</v>
      </c>
    </row>
    <row r="112" ht="15.0" customHeight="1">
      <c r="A112" s="5" t="s">
        <v>253</v>
      </c>
      <c r="B112" s="6"/>
      <c r="C112" s="6"/>
      <c r="D112" s="6"/>
      <c r="E112" s="6"/>
      <c r="F112" s="6"/>
      <c r="G112" s="7"/>
    </row>
    <row r="113" ht="15.0" customHeight="1">
      <c r="A113" s="8">
        <v>16.0</v>
      </c>
      <c r="B113" s="9" t="s">
        <v>254</v>
      </c>
      <c r="C113" s="18" t="s">
        <v>21</v>
      </c>
      <c r="D113" s="9" t="s">
        <v>71</v>
      </c>
      <c r="E113" s="12" t="s">
        <v>25</v>
      </c>
      <c r="F113" s="8"/>
      <c r="G113" s="9" t="s">
        <v>31</v>
      </c>
    </row>
    <row r="114" ht="15.0" customHeight="1">
      <c r="A114" s="8">
        <v>16.0</v>
      </c>
      <c r="B114" s="9" t="s">
        <v>255</v>
      </c>
      <c r="C114" s="21" t="s">
        <v>23</v>
      </c>
      <c r="D114" s="9" t="s">
        <v>256</v>
      </c>
      <c r="E114" s="12" t="s">
        <v>25</v>
      </c>
      <c r="F114" s="8"/>
      <c r="G114" s="9" t="s">
        <v>31</v>
      </c>
    </row>
    <row r="115" ht="15.0" customHeight="1">
      <c r="A115" s="5" t="s">
        <v>257</v>
      </c>
      <c r="B115" s="6"/>
      <c r="C115" s="6"/>
      <c r="D115" s="6"/>
      <c r="E115" s="6"/>
      <c r="F115" s="6"/>
      <c r="G115" s="7"/>
    </row>
    <row r="116" ht="15.0" customHeight="1">
      <c r="A116" s="8">
        <v>17.0</v>
      </c>
      <c r="B116" s="9" t="s">
        <v>258</v>
      </c>
      <c r="C116" s="11" t="s">
        <v>20</v>
      </c>
      <c r="D116" s="9" t="s">
        <v>28</v>
      </c>
      <c r="E116" s="12" t="s">
        <v>25</v>
      </c>
      <c r="F116" s="8"/>
      <c r="G116" s="9" t="s">
        <v>31</v>
      </c>
    </row>
    <row r="117" ht="15.0" customHeight="1">
      <c r="A117" s="8">
        <v>17.0</v>
      </c>
      <c r="B117" s="9" t="s">
        <v>102</v>
      </c>
      <c r="C117" s="18" t="s">
        <v>21</v>
      </c>
      <c r="D117" s="9" t="s">
        <v>42</v>
      </c>
      <c r="E117" s="12" t="s">
        <v>25</v>
      </c>
      <c r="F117" s="17" t="s">
        <v>32</v>
      </c>
      <c r="G117" s="9" t="s">
        <v>31</v>
      </c>
    </row>
    <row r="118" ht="15.0" customHeight="1">
      <c r="A118" s="8">
        <v>17.0</v>
      </c>
      <c r="B118" s="9" t="s">
        <v>259</v>
      </c>
      <c r="C118" s="18" t="s">
        <v>21</v>
      </c>
      <c r="D118" s="9" t="s">
        <v>160</v>
      </c>
      <c r="E118" s="12" t="s">
        <v>25</v>
      </c>
      <c r="F118" s="8"/>
      <c r="G118" s="9" t="s">
        <v>31</v>
      </c>
    </row>
    <row r="119" ht="15.0" customHeight="1">
      <c r="A119" s="8">
        <v>17.0</v>
      </c>
      <c r="B119" s="9" t="s">
        <v>106</v>
      </c>
      <c r="C119" s="18" t="s">
        <v>21</v>
      </c>
      <c r="D119" s="9" t="s">
        <v>42</v>
      </c>
      <c r="E119" s="12" t="s">
        <v>25</v>
      </c>
      <c r="F119" s="17" t="s">
        <v>32</v>
      </c>
      <c r="G119" s="9" t="s">
        <v>31</v>
      </c>
    </row>
    <row r="120" ht="15.0" customHeight="1">
      <c r="A120" s="8">
        <v>17.0</v>
      </c>
      <c r="B120" s="9" t="s">
        <v>104</v>
      </c>
      <c r="C120" s="18" t="s">
        <v>21</v>
      </c>
      <c r="D120" s="9" t="s">
        <v>28</v>
      </c>
      <c r="E120" s="12" t="s">
        <v>25</v>
      </c>
      <c r="F120" s="17" t="s">
        <v>32</v>
      </c>
      <c r="G120" s="9" t="s">
        <v>31</v>
      </c>
    </row>
    <row r="121" ht="15.0" customHeight="1">
      <c r="A121" s="8">
        <v>17.0</v>
      </c>
      <c r="B121" s="9" t="s">
        <v>260</v>
      </c>
      <c r="C121" s="21" t="s">
        <v>23</v>
      </c>
      <c r="D121" s="9" t="s">
        <v>28</v>
      </c>
      <c r="E121" s="12" t="s">
        <v>25</v>
      </c>
      <c r="F121" s="8"/>
      <c r="G121" s="9" t="s">
        <v>31</v>
      </c>
    </row>
    <row r="122" ht="15.0" customHeight="1">
      <c r="A122" s="5" t="s">
        <v>261</v>
      </c>
      <c r="B122" s="6"/>
      <c r="C122" s="6"/>
      <c r="D122" s="6"/>
      <c r="E122" s="6"/>
      <c r="F122" s="6"/>
      <c r="G122" s="7"/>
    </row>
    <row r="123" ht="15.0" customHeight="1">
      <c r="A123" s="8">
        <v>18.0</v>
      </c>
      <c r="B123" s="9" t="s">
        <v>262</v>
      </c>
      <c r="C123" s="11" t="s">
        <v>20</v>
      </c>
      <c r="D123" s="9" t="s">
        <v>263</v>
      </c>
      <c r="E123" s="12" t="s">
        <v>25</v>
      </c>
      <c r="F123" s="8"/>
      <c r="G123" s="9" t="s">
        <v>31</v>
      </c>
    </row>
    <row r="124" ht="15.0" customHeight="1">
      <c r="A124" s="8">
        <v>18.0</v>
      </c>
      <c r="B124" s="9" t="s">
        <v>264</v>
      </c>
      <c r="C124" s="18" t="s">
        <v>21</v>
      </c>
      <c r="D124" s="9" t="s">
        <v>192</v>
      </c>
      <c r="E124" s="12" t="s">
        <v>25</v>
      </c>
      <c r="F124" s="8"/>
      <c r="G124" s="9" t="s">
        <v>31</v>
      </c>
    </row>
    <row r="125" ht="15.0" customHeight="1">
      <c r="A125" s="8">
        <v>18.0</v>
      </c>
      <c r="B125" s="9" t="s">
        <v>265</v>
      </c>
      <c r="C125" s="18" t="s">
        <v>21</v>
      </c>
      <c r="D125" s="9" t="s">
        <v>192</v>
      </c>
      <c r="E125" s="12" t="s">
        <v>25</v>
      </c>
      <c r="F125" s="8"/>
      <c r="G125" s="9" t="s">
        <v>31</v>
      </c>
    </row>
    <row r="126" ht="15.0" customHeight="1">
      <c r="A126" s="8">
        <v>18.0</v>
      </c>
      <c r="B126" s="9" t="s">
        <v>266</v>
      </c>
      <c r="C126" s="18" t="s">
        <v>21</v>
      </c>
      <c r="D126" s="9" t="s">
        <v>192</v>
      </c>
      <c r="E126" s="12" t="s">
        <v>25</v>
      </c>
      <c r="F126" s="8"/>
      <c r="G126" s="9" t="s">
        <v>31</v>
      </c>
    </row>
    <row r="127" ht="15.0" customHeight="1">
      <c r="A127" s="8">
        <v>18.0</v>
      </c>
      <c r="B127" s="9" t="s">
        <v>267</v>
      </c>
      <c r="C127" s="18" t="s">
        <v>21</v>
      </c>
      <c r="D127" s="9" t="s">
        <v>192</v>
      </c>
      <c r="E127" s="12" t="s">
        <v>25</v>
      </c>
      <c r="F127" s="8"/>
      <c r="G127" s="9" t="s">
        <v>31</v>
      </c>
    </row>
    <row r="128" ht="15.0" customHeight="1">
      <c r="A128" s="8">
        <v>18.0</v>
      </c>
      <c r="B128" s="9" t="s">
        <v>268</v>
      </c>
      <c r="C128" s="18" t="s">
        <v>21</v>
      </c>
      <c r="D128" s="9" t="s">
        <v>192</v>
      </c>
      <c r="E128" s="12" t="s">
        <v>25</v>
      </c>
      <c r="F128" s="8"/>
      <c r="G128" s="9" t="s">
        <v>31</v>
      </c>
    </row>
    <row r="129" ht="15.0" customHeight="1">
      <c r="A129" s="8">
        <v>18.0</v>
      </c>
      <c r="B129" s="9" t="s">
        <v>99</v>
      </c>
      <c r="C129" s="18" t="s">
        <v>21</v>
      </c>
      <c r="D129" s="9" t="s">
        <v>192</v>
      </c>
      <c r="E129" s="12" t="s">
        <v>25</v>
      </c>
      <c r="F129" s="17" t="s">
        <v>32</v>
      </c>
      <c r="G129" s="9" t="s">
        <v>31</v>
      </c>
    </row>
    <row r="130" ht="15.0" customHeight="1">
      <c r="A130" s="8">
        <v>18.0</v>
      </c>
      <c r="B130" s="9" t="s">
        <v>269</v>
      </c>
      <c r="C130" s="21" t="s">
        <v>23</v>
      </c>
      <c r="D130" s="9" t="s">
        <v>192</v>
      </c>
      <c r="E130" s="12" t="s">
        <v>25</v>
      </c>
      <c r="F130" s="8"/>
      <c r="G130" s="9" t="s">
        <v>31</v>
      </c>
    </row>
    <row r="131" ht="15.0" customHeight="1">
      <c r="A131" s="8">
        <v>18.0</v>
      </c>
      <c r="B131" s="9" t="s">
        <v>270</v>
      </c>
      <c r="C131" s="21" t="s">
        <v>23</v>
      </c>
      <c r="D131" s="9" t="s">
        <v>192</v>
      </c>
      <c r="E131" s="12" t="s">
        <v>25</v>
      </c>
      <c r="F131" s="8"/>
      <c r="G131" s="9" t="s">
        <v>31</v>
      </c>
    </row>
    <row r="132" ht="15.0" customHeight="1">
      <c r="A132" s="8">
        <v>18.0</v>
      </c>
      <c r="B132" s="9" t="s">
        <v>271</v>
      </c>
      <c r="C132" s="23" t="s">
        <v>24</v>
      </c>
      <c r="D132" s="9" t="s">
        <v>272</v>
      </c>
      <c r="E132" s="12" t="s">
        <v>25</v>
      </c>
      <c r="F132" s="8"/>
      <c r="G132" s="9" t="s">
        <v>31</v>
      </c>
    </row>
    <row r="133" ht="15.0" customHeight="1">
      <c r="A133" s="8">
        <v>18.0</v>
      </c>
      <c r="B133" s="9" t="s">
        <v>273</v>
      </c>
      <c r="C133" s="23" t="s">
        <v>24</v>
      </c>
      <c r="D133" s="9" t="s">
        <v>40</v>
      </c>
      <c r="E133" s="12" t="s">
        <v>25</v>
      </c>
      <c r="F133" s="8"/>
      <c r="G133" s="9" t="s">
        <v>31</v>
      </c>
    </row>
    <row r="134" ht="15.0" customHeight="1">
      <c r="A134" s="8">
        <v>18.0</v>
      </c>
      <c r="B134" s="9" t="s">
        <v>274</v>
      </c>
      <c r="C134" s="23" t="s">
        <v>24</v>
      </c>
      <c r="D134" s="9" t="s">
        <v>192</v>
      </c>
      <c r="E134" s="12" t="s">
        <v>25</v>
      </c>
      <c r="F134" s="8"/>
      <c r="G134" s="9" t="s">
        <v>31</v>
      </c>
    </row>
    <row r="135" ht="15.0" customHeight="1">
      <c r="A135" s="5" t="s">
        <v>275</v>
      </c>
      <c r="B135" s="6"/>
      <c r="C135" s="6"/>
      <c r="D135" s="6"/>
      <c r="E135" s="6"/>
      <c r="F135" s="6"/>
      <c r="G135" s="7"/>
    </row>
    <row r="136" ht="15.0" customHeight="1">
      <c r="A136" s="8">
        <v>19.0</v>
      </c>
      <c r="B136" s="9" t="s">
        <v>276</v>
      </c>
      <c r="C136" s="11" t="s">
        <v>20</v>
      </c>
      <c r="D136" s="9" t="s">
        <v>201</v>
      </c>
      <c r="E136" s="12" t="s">
        <v>25</v>
      </c>
      <c r="F136" s="8"/>
      <c r="G136" s="9" t="s">
        <v>31</v>
      </c>
    </row>
    <row r="137" ht="15.0" customHeight="1">
      <c r="A137" s="8">
        <v>19.0</v>
      </c>
      <c r="B137" s="9" t="s">
        <v>277</v>
      </c>
      <c r="C137" s="18" t="s">
        <v>21</v>
      </c>
      <c r="D137" s="9" t="s">
        <v>201</v>
      </c>
      <c r="E137" s="12" t="s">
        <v>25</v>
      </c>
      <c r="F137" s="8"/>
      <c r="G137" s="9" t="s">
        <v>31</v>
      </c>
    </row>
    <row r="138" ht="15.0" customHeight="1">
      <c r="A138" s="8">
        <v>19.0</v>
      </c>
      <c r="B138" s="9" t="s">
        <v>164</v>
      </c>
      <c r="C138" s="18" t="s">
        <v>21</v>
      </c>
      <c r="D138" s="9" t="s">
        <v>42</v>
      </c>
      <c r="E138" s="12" t="s">
        <v>25</v>
      </c>
      <c r="F138" s="17" t="s">
        <v>32</v>
      </c>
      <c r="G138" s="9" t="s">
        <v>31</v>
      </c>
    </row>
    <row r="139" ht="15.0" customHeight="1">
      <c r="A139" s="8">
        <v>19.0</v>
      </c>
      <c r="B139" s="9" t="s">
        <v>168</v>
      </c>
      <c r="C139" s="18" t="s">
        <v>21</v>
      </c>
      <c r="D139" s="9" t="s">
        <v>201</v>
      </c>
      <c r="E139" s="12" t="s">
        <v>25</v>
      </c>
      <c r="F139" s="17" t="s">
        <v>32</v>
      </c>
      <c r="G139" s="9" t="s">
        <v>31</v>
      </c>
    </row>
    <row r="140" ht="15.0" customHeight="1">
      <c r="A140" s="8">
        <v>19.0</v>
      </c>
      <c r="B140" s="9" t="s">
        <v>278</v>
      </c>
      <c r="C140" s="18" t="s">
        <v>21</v>
      </c>
      <c r="D140" s="9" t="s">
        <v>201</v>
      </c>
      <c r="E140" s="12" t="s">
        <v>25</v>
      </c>
      <c r="F140" s="8"/>
      <c r="G140" s="9" t="s">
        <v>31</v>
      </c>
    </row>
    <row r="141" ht="15.0" customHeight="1">
      <c r="A141" s="8">
        <v>19.0</v>
      </c>
      <c r="B141" s="9" t="s">
        <v>279</v>
      </c>
      <c r="C141" s="18" t="s">
        <v>21</v>
      </c>
      <c r="D141" s="9" t="s">
        <v>233</v>
      </c>
      <c r="E141" s="12" t="s">
        <v>25</v>
      </c>
      <c r="F141" s="8"/>
      <c r="G141" s="9" t="s">
        <v>31</v>
      </c>
    </row>
    <row r="142" ht="15.0" customHeight="1">
      <c r="A142" s="8">
        <v>19.0</v>
      </c>
      <c r="B142" s="9" t="s">
        <v>280</v>
      </c>
      <c r="C142" s="18" t="s">
        <v>21</v>
      </c>
      <c r="D142" s="9" t="s">
        <v>191</v>
      </c>
      <c r="E142" s="12" t="s">
        <v>25</v>
      </c>
      <c r="F142" s="8"/>
      <c r="G142" s="9" t="s">
        <v>31</v>
      </c>
    </row>
    <row r="143" ht="15.0" customHeight="1">
      <c r="A143" s="8">
        <v>19.0</v>
      </c>
      <c r="B143" s="9" t="s">
        <v>281</v>
      </c>
      <c r="C143" s="18" t="s">
        <v>21</v>
      </c>
      <c r="D143" s="9" t="s">
        <v>201</v>
      </c>
      <c r="E143" s="12" t="s">
        <v>25</v>
      </c>
      <c r="F143" s="8"/>
      <c r="G143" s="9" t="s">
        <v>31</v>
      </c>
    </row>
    <row r="144" ht="15.0" customHeight="1">
      <c r="A144" s="8">
        <v>19.0</v>
      </c>
      <c r="B144" s="9" t="s">
        <v>161</v>
      </c>
      <c r="C144" s="18" t="s">
        <v>21</v>
      </c>
      <c r="D144" s="9" t="s">
        <v>201</v>
      </c>
      <c r="E144" s="12" t="s">
        <v>25</v>
      </c>
      <c r="F144" s="17" t="s">
        <v>32</v>
      </c>
      <c r="G144" s="9" t="s">
        <v>31</v>
      </c>
    </row>
    <row r="145" ht="15.0" customHeight="1">
      <c r="A145" s="8">
        <v>19.0</v>
      </c>
      <c r="B145" s="9" t="s">
        <v>167</v>
      </c>
      <c r="C145" s="18" t="s">
        <v>21</v>
      </c>
      <c r="D145" s="9" t="s">
        <v>42</v>
      </c>
      <c r="E145" s="12" t="s">
        <v>25</v>
      </c>
      <c r="F145" s="17" t="s">
        <v>32</v>
      </c>
      <c r="G145" s="9" t="s">
        <v>31</v>
      </c>
    </row>
    <row r="146" ht="15.0" customHeight="1">
      <c r="A146" s="8">
        <v>19.0</v>
      </c>
      <c r="B146" s="9" t="s">
        <v>283</v>
      </c>
      <c r="C146" s="18" t="s">
        <v>21</v>
      </c>
      <c r="D146" s="9" t="s">
        <v>201</v>
      </c>
      <c r="E146" s="12" t="s">
        <v>25</v>
      </c>
      <c r="F146" s="8"/>
      <c r="G146" s="9" t="s">
        <v>31</v>
      </c>
    </row>
    <row r="147" ht="15.0" customHeight="1">
      <c r="A147" s="8">
        <v>19.0</v>
      </c>
      <c r="B147" s="9" t="s">
        <v>285</v>
      </c>
      <c r="C147" s="21" t="s">
        <v>23</v>
      </c>
      <c r="D147" s="9" t="s">
        <v>201</v>
      </c>
      <c r="E147" s="12" t="s">
        <v>25</v>
      </c>
      <c r="F147" s="8"/>
      <c r="G147" s="9" t="s">
        <v>31</v>
      </c>
    </row>
    <row r="148" ht="15.0" customHeight="1">
      <c r="A148" s="8">
        <v>19.0</v>
      </c>
      <c r="B148" s="9" t="s">
        <v>286</v>
      </c>
      <c r="C148" s="21" t="s">
        <v>23</v>
      </c>
      <c r="D148" s="9" t="s">
        <v>28</v>
      </c>
      <c r="E148" s="12" t="s">
        <v>25</v>
      </c>
      <c r="F148" s="8"/>
      <c r="G148" s="9" t="s">
        <v>31</v>
      </c>
    </row>
    <row r="149" ht="15.0" customHeight="1">
      <c r="A149" s="8">
        <v>19.0</v>
      </c>
      <c r="B149" s="9" t="s">
        <v>287</v>
      </c>
      <c r="C149" s="21" t="s">
        <v>23</v>
      </c>
      <c r="D149" s="9" t="s">
        <v>233</v>
      </c>
      <c r="E149" s="12" t="s">
        <v>25</v>
      </c>
      <c r="F149" s="8"/>
      <c r="G149" s="9" t="s">
        <v>31</v>
      </c>
    </row>
    <row r="150" ht="15.0" customHeight="1">
      <c r="A150" s="8">
        <v>19.0</v>
      </c>
      <c r="B150" s="9" t="s">
        <v>288</v>
      </c>
      <c r="C150" s="23" t="s">
        <v>24</v>
      </c>
      <c r="D150" s="9" t="s">
        <v>201</v>
      </c>
      <c r="E150" s="12" t="s">
        <v>25</v>
      </c>
      <c r="F150" s="8"/>
      <c r="G150" s="9" t="s">
        <v>31</v>
      </c>
    </row>
    <row r="151" ht="15.0" customHeight="1">
      <c r="A151" s="8">
        <v>19.0</v>
      </c>
      <c r="B151" s="9" t="s">
        <v>289</v>
      </c>
      <c r="C151" s="23" t="s">
        <v>24</v>
      </c>
      <c r="D151" s="9" t="s">
        <v>233</v>
      </c>
      <c r="E151" s="12" t="s">
        <v>25</v>
      </c>
      <c r="F151" s="8"/>
      <c r="G151" s="9" t="s">
        <v>31</v>
      </c>
    </row>
    <row r="152" ht="15.0" customHeight="1">
      <c r="A152" s="5" t="s">
        <v>290</v>
      </c>
      <c r="B152" s="6"/>
      <c r="C152" s="6"/>
      <c r="D152" s="6"/>
      <c r="E152" s="6"/>
      <c r="F152" s="6"/>
      <c r="G152" s="7"/>
    </row>
    <row r="153" ht="15.0" customHeight="1">
      <c r="A153" s="8">
        <v>20.0</v>
      </c>
      <c r="B153" s="9" t="s">
        <v>291</v>
      </c>
      <c r="C153" s="11" t="s">
        <v>20</v>
      </c>
      <c r="D153" s="9" t="s">
        <v>272</v>
      </c>
      <c r="E153" s="12" t="s">
        <v>25</v>
      </c>
      <c r="F153" s="8"/>
      <c r="G153" s="9" t="s">
        <v>31</v>
      </c>
    </row>
    <row r="154" ht="15.0" customHeight="1">
      <c r="A154" s="8">
        <v>20.0</v>
      </c>
      <c r="B154" s="9" t="s">
        <v>292</v>
      </c>
      <c r="C154" s="11" t="s">
        <v>20</v>
      </c>
      <c r="D154" s="9" t="s">
        <v>272</v>
      </c>
      <c r="E154" s="12" t="s">
        <v>25</v>
      </c>
      <c r="F154" s="8"/>
      <c r="G154" s="9" t="s">
        <v>31</v>
      </c>
    </row>
    <row r="155" ht="15.0" customHeight="1">
      <c r="A155" s="8">
        <v>20.0</v>
      </c>
      <c r="B155" s="9" t="s">
        <v>139</v>
      </c>
      <c r="C155" s="11" t="s">
        <v>20</v>
      </c>
      <c r="D155" s="9" t="s">
        <v>42</v>
      </c>
      <c r="E155" s="12" t="s">
        <v>25</v>
      </c>
      <c r="F155" s="17" t="s">
        <v>32</v>
      </c>
      <c r="G155" s="9" t="s">
        <v>31</v>
      </c>
    </row>
    <row r="156" ht="15.0" customHeight="1">
      <c r="A156" s="8">
        <v>20.0</v>
      </c>
      <c r="B156" s="9" t="s">
        <v>126</v>
      </c>
      <c r="C156" s="11" t="s">
        <v>20</v>
      </c>
      <c r="D156" s="9" t="s">
        <v>272</v>
      </c>
      <c r="E156" s="12" t="s">
        <v>25</v>
      </c>
      <c r="F156" s="17" t="s">
        <v>32</v>
      </c>
      <c r="G156" s="9" t="s">
        <v>31</v>
      </c>
    </row>
    <row r="157" ht="15.0" customHeight="1">
      <c r="A157" s="8">
        <v>20.0</v>
      </c>
      <c r="B157" s="9" t="s">
        <v>293</v>
      </c>
      <c r="C157" s="11" t="s">
        <v>20</v>
      </c>
      <c r="D157" s="9" t="s">
        <v>191</v>
      </c>
      <c r="E157" s="12" t="s">
        <v>25</v>
      </c>
      <c r="F157" s="8"/>
      <c r="G157" s="9" t="s">
        <v>31</v>
      </c>
    </row>
    <row r="158" ht="15.0" customHeight="1">
      <c r="A158" s="8">
        <v>20.0</v>
      </c>
      <c r="B158" s="9" t="s">
        <v>129</v>
      </c>
      <c r="C158" s="11" t="s">
        <v>20</v>
      </c>
      <c r="D158" s="9" t="s">
        <v>42</v>
      </c>
      <c r="E158" s="12" t="s">
        <v>25</v>
      </c>
      <c r="F158" s="17" t="s">
        <v>32</v>
      </c>
      <c r="G158" s="9" t="s">
        <v>31</v>
      </c>
    </row>
    <row r="159" ht="15.0" customHeight="1">
      <c r="A159" s="8">
        <v>20.0</v>
      </c>
      <c r="B159" s="9" t="s">
        <v>131</v>
      </c>
      <c r="C159" s="11" t="s">
        <v>20</v>
      </c>
      <c r="D159" s="9" t="s">
        <v>42</v>
      </c>
      <c r="E159" s="12" t="s">
        <v>25</v>
      </c>
      <c r="F159" s="17" t="s">
        <v>32</v>
      </c>
      <c r="G159" s="9" t="s">
        <v>31</v>
      </c>
    </row>
    <row r="160" ht="15.0" customHeight="1">
      <c r="A160" s="8">
        <v>20.0</v>
      </c>
      <c r="B160" s="9" t="s">
        <v>295</v>
      </c>
      <c r="C160" s="18" t="s">
        <v>21</v>
      </c>
      <c r="D160" s="9" t="s">
        <v>272</v>
      </c>
      <c r="E160" s="12" t="s">
        <v>25</v>
      </c>
      <c r="F160" s="8"/>
      <c r="G160" s="9" t="s">
        <v>31</v>
      </c>
    </row>
    <row r="161" ht="15.0" customHeight="1">
      <c r="A161" s="8">
        <v>20.0</v>
      </c>
      <c r="B161" s="9" t="s">
        <v>296</v>
      </c>
      <c r="C161" s="18" t="s">
        <v>21</v>
      </c>
      <c r="D161" s="9" t="s">
        <v>170</v>
      </c>
      <c r="E161" s="12" t="s">
        <v>25</v>
      </c>
      <c r="F161" s="8"/>
      <c r="G161" s="9" t="s">
        <v>31</v>
      </c>
    </row>
    <row r="162" ht="15.0" customHeight="1">
      <c r="A162" s="8">
        <v>20.0</v>
      </c>
      <c r="B162" s="9" t="s">
        <v>133</v>
      </c>
      <c r="C162" s="18" t="s">
        <v>21</v>
      </c>
      <c r="D162" s="9" t="s">
        <v>42</v>
      </c>
      <c r="E162" s="12" t="s">
        <v>25</v>
      </c>
      <c r="F162" s="17" t="s">
        <v>32</v>
      </c>
      <c r="G162" s="9" t="s">
        <v>31</v>
      </c>
    </row>
    <row r="163" ht="15.0" customHeight="1">
      <c r="A163" s="8">
        <v>20.0</v>
      </c>
      <c r="B163" s="9" t="s">
        <v>297</v>
      </c>
      <c r="C163" s="18" t="s">
        <v>21</v>
      </c>
      <c r="D163" s="9" t="s">
        <v>170</v>
      </c>
      <c r="E163" s="12" t="s">
        <v>25</v>
      </c>
      <c r="F163" s="8"/>
      <c r="G163" s="9" t="s">
        <v>31</v>
      </c>
    </row>
    <row r="164" ht="15.0" customHeight="1">
      <c r="A164" s="8">
        <v>20.0</v>
      </c>
      <c r="B164" s="9" t="s">
        <v>298</v>
      </c>
      <c r="C164" s="18" t="s">
        <v>21</v>
      </c>
      <c r="D164" s="9" t="s">
        <v>272</v>
      </c>
      <c r="E164" s="12" t="s">
        <v>25</v>
      </c>
      <c r="F164" s="8"/>
      <c r="G164" s="9" t="s">
        <v>31</v>
      </c>
    </row>
    <row r="165" ht="15.0" customHeight="1">
      <c r="A165" s="8">
        <v>20.0</v>
      </c>
      <c r="B165" s="9" t="s">
        <v>299</v>
      </c>
      <c r="C165" s="18" t="s">
        <v>21</v>
      </c>
      <c r="D165" s="9" t="s">
        <v>272</v>
      </c>
      <c r="E165" s="12" t="s">
        <v>25</v>
      </c>
      <c r="F165" s="8"/>
      <c r="G165" s="9" t="s">
        <v>31</v>
      </c>
    </row>
    <row r="166" ht="15.0" customHeight="1">
      <c r="A166" s="8">
        <v>20.0</v>
      </c>
      <c r="B166" s="9" t="s">
        <v>143</v>
      </c>
      <c r="C166" s="18" t="s">
        <v>21</v>
      </c>
      <c r="D166" s="9" t="s">
        <v>170</v>
      </c>
      <c r="E166" s="12" t="s">
        <v>25</v>
      </c>
      <c r="F166" s="17" t="s">
        <v>32</v>
      </c>
      <c r="G166" s="9" t="s">
        <v>31</v>
      </c>
    </row>
    <row r="167" ht="15.0" customHeight="1">
      <c r="A167" s="8">
        <v>20.0</v>
      </c>
      <c r="B167" s="9" t="s">
        <v>300</v>
      </c>
      <c r="C167" s="18" t="s">
        <v>21</v>
      </c>
      <c r="D167" s="9" t="s">
        <v>301</v>
      </c>
      <c r="E167" s="12" t="s">
        <v>25</v>
      </c>
      <c r="F167" s="8"/>
      <c r="G167" s="9" t="s">
        <v>31</v>
      </c>
    </row>
    <row r="168" ht="15.0" customHeight="1">
      <c r="A168" s="8">
        <v>20.0</v>
      </c>
      <c r="B168" s="9" t="s">
        <v>302</v>
      </c>
      <c r="C168" s="18" t="s">
        <v>21</v>
      </c>
      <c r="D168" s="9" t="s">
        <v>272</v>
      </c>
      <c r="E168" s="12" t="s">
        <v>25</v>
      </c>
      <c r="F168" s="8"/>
      <c r="G168" s="9" t="s">
        <v>31</v>
      </c>
    </row>
    <row r="169" ht="15.0" customHeight="1">
      <c r="A169" s="8">
        <v>20.0</v>
      </c>
      <c r="B169" s="9" t="s">
        <v>303</v>
      </c>
      <c r="C169" s="18" t="s">
        <v>21</v>
      </c>
      <c r="D169" s="9" t="s">
        <v>272</v>
      </c>
      <c r="E169" s="12" t="s">
        <v>25</v>
      </c>
      <c r="F169" s="8"/>
      <c r="G169" s="9" t="s">
        <v>31</v>
      </c>
    </row>
    <row r="170" ht="15.0" customHeight="1">
      <c r="A170" s="8">
        <v>20.0</v>
      </c>
      <c r="B170" s="9" t="s">
        <v>305</v>
      </c>
      <c r="C170" s="18" t="s">
        <v>21</v>
      </c>
      <c r="D170" s="9" t="s">
        <v>272</v>
      </c>
      <c r="E170" s="12" t="s">
        <v>25</v>
      </c>
      <c r="F170" s="8"/>
      <c r="G170" s="9" t="s">
        <v>31</v>
      </c>
    </row>
    <row r="171" ht="15.0" customHeight="1">
      <c r="A171" s="8">
        <v>20.0</v>
      </c>
      <c r="B171" s="9" t="s">
        <v>141</v>
      </c>
      <c r="C171" s="18" t="s">
        <v>21</v>
      </c>
      <c r="D171" s="9" t="s">
        <v>170</v>
      </c>
      <c r="E171" s="12" t="s">
        <v>25</v>
      </c>
      <c r="F171" s="17" t="s">
        <v>32</v>
      </c>
      <c r="G171" s="9" t="s">
        <v>31</v>
      </c>
    </row>
    <row r="172" ht="15.0" customHeight="1">
      <c r="A172" s="8">
        <v>20.0</v>
      </c>
      <c r="B172" s="9" t="s">
        <v>135</v>
      </c>
      <c r="C172" s="21" t="s">
        <v>23</v>
      </c>
      <c r="D172" s="9" t="s">
        <v>272</v>
      </c>
      <c r="E172" s="12" t="s">
        <v>25</v>
      </c>
      <c r="F172" s="17" t="s">
        <v>32</v>
      </c>
      <c r="G172" s="9" t="s">
        <v>31</v>
      </c>
    </row>
    <row r="173" ht="15.0" customHeight="1">
      <c r="A173" s="8">
        <v>20.0</v>
      </c>
      <c r="B173" s="9" t="s">
        <v>306</v>
      </c>
      <c r="C173" s="21" t="s">
        <v>23</v>
      </c>
      <c r="D173" s="9" t="s">
        <v>170</v>
      </c>
      <c r="E173" s="12" t="s">
        <v>25</v>
      </c>
      <c r="F173" s="8"/>
      <c r="G173" s="9" t="s">
        <v>31</v>
      </c>
    </row>
    <row r="174" ht="15.0" customHeight="1">
      <c r="A174" s="8">
        <v>20.0</v>
      </c>
      <c r="B174" s="9" t="s">
        <v>307</v>
      </c>
      <c r="C174" s="21" t="s">
        <v>23</v>
      </c>
      <c r="D174" s="9" t="s">
        <v>170</v>
      </c>
      <c r="E174" s="12" t="s">
        <v>25</v>
      </c>
      <c r="F174" s="8"/>
      <c r="G174" s="9" t="s">
        <v>31</v>
      </c>
    </row>
    <row r="175" ht="15.0" customHeight="1">
      <c r="A175" s="8">
        <v>20.0</v>
      </c>
      <c r="B175" s="9" t="s">
        <v>137</v>
      </c>
      <c r="C175" s="21" t="s">
        <v>23</v>
      </c>
      <c r="D175" s="9" t="s">
        <v>42</v>
      </c>
      <c r="E175" s="12" t="s">
        <v>25</v>
      </c>
      <c r="F175" s="17" t="s">
        <v>32</v>
      </c>
      <c r="G175" s="9" t="s">
        <v>31</v>
      </c>
    </row>
    <row r="176" ht="15.0" customHeight="1">
      <c r="A176" s="8">
        <v>20.0</v>
      </c>
      <c r="B176" s="9" t="s">
        <v>310</v>
      </c>
      <c r="C176" s="23" t="s">
        <v>24</v>
      </c>
      <c r="D176" s="9" t="s">
        <v>272</v>
      </c>
      <c r="E176" s="12" t="s">
        <v>25</v>
      </c>
      <c r="F176" s="8"/>
      <c r="G176" s="9" t="s">
        <v>31</v>
      </c>
    </row>
    <row r="177" ht="15.0" customHeight="1">
      <c r="A177" s="8">
        <v>20.0</v>
      </c>
      <c r="B177" s="9" t="s">
        <v>311</v>
      </c>
      <c r="C177" s="23" t="s">
        <v>24</v>
      </c>
      <c r="D177" s="9" t="s">
        <v>272</v>
      </c>
      <c r="E177" s="12" t="s">
        <v>25</v>
      </c>
      <c r="F177" s="8"/>
      <c r="G177" s="9" t="s">
        <v>31</v>
      </c>
    </row>
    <row r="178" ht="15.0" customHeight="1">
      <c r="A178" s="5" t="s">
        <v>312</v>
      </c>
      <c r="B178" s="6"/>
      <c r="C178" s="6"/>
      <c r="D178" s="6"/>
      <c r="E178" s="6"/>
      <c r="F178" s="6"/>
      <c r="G178" s="7"/>
    </row>
    <row r="179" ht="15.0" customHeight="1">
      <c r="A179" s="8">
        <v>21.0</v>
      </c>
      <c r="B179" s="9" t="s">
        <v>132</v>
      </c>
      <c r="C179" s="18" t="s">
        <v>21</v>
      </c>
      <c r="D179" s="9" t="s">
        <v>42</v>
      </c>
      <c r="E179" s="12" t="s">
        <v>25</v>
      </c>
      <c r="F179" s="17" t="s">
        <v>32</v>
      </c>
      <c r="G179" s="9" t="s">
        <v>31</v>
      </c>
    </row>
    <row r="180" ht="15.0" customHeight="1">
      <c r="A180" s="8">
        <v>21.0</v>
      </c>
      <c r="B180" s="9" t="s">
        <v>124</v>
      </c>
      <c r="C180" s="18" t="s">
        <v>21</v>
      </c>
      <c r="D180" s="9" t="s">
        <v>272</v>
      </c>
      <c r="E180" s="12" t="s">
        <v>25</v>
      </c>
      <c r="F180" s="17" t="s">
        <v>32</v>
      </c>
      <c r="G180" s="9" t="s">
        <v>31</v>
      </c>
    </row>
    <row r="181" ht="15.0" customHeight="1">
      <c r="A181" s="8">
        <v>21.0</v>
      </c>
      <c r="B181" s="9" t="s">
        <v>313</v>
      </c>
      <c r="C181" s="21" t="s">
        <v>23</v>
      </c>
      <c r="D181" s="9" t="s">
        <v>272</v>
      </c>
      <c r="E181" s="12" t="s">
        <v>25</v>
      </c>
      <c r="F181" s="8"/>
      <c r="G181" s="9" t="s">
        <v>31</v>
      </c>
    </row>
    <row r="182" ht="15.0" customHeight="1">
      <c r="A182" s="5" t="s">
        <v>314</v>
      </c>
      <c r="B182" s="6"/>
      <c r="C182" s="6"/>
      <c r="D182" s="6"/>
      <c r="E182" s="6"/>
      <c r="F182" s="6"/>
      <c r="G182" s="7"/>
    </row>
    <row r="183" ht="15.0" customHeight="1">
      <c r="A183" s="8">
        <v>22.0</v>
      </c>
      <c r="B183" s="9" t="s">
        <v>150</v>
      </c>
      <c r="C183" s="18" t="s">
        <v>21</v>
      </c>
      <c r="D183" s="9" t="s">
        <v>42</v>
      </c>
      <c r="E183" s="12" t="s">
        <v>25</v>
      </c>
      <c r="F183" s="17" t="s">
        <v>32</v>
      </c>
      <c r="G183" s="9" t="s">
        <v>31</v>
      </c>
    </row>
    <row r="184" ht="15.0" customHeight="1">
      <c r="A184" s="8">
        <v>22.0</v>
      </c>
      <c r="B184" s="9" t="s">
        <v>147</v>
      </c>
      <c r="C184" s="18" t="s">
        <v>21</v>
      </c>
      <c r="D184" s="9" t="s">
        <v>315</v>
      </c>
      <c r="E184" s="12" t="s">
        <v>25</v>
      </c>
      <c r="F184" s="17" t="s">
        <v>32</v>
      </c>
      <c r="G184" s="9" t="s">
        <v>31</v>
      </c>
    </row>
    <row r="185" ht="15.0" customHeight="1">
      <c r="A185" s="8">
        <v>22.0</v>
      </c>
      <c r="B185" s="9" t="s">
        <v>316</v>
      </c>
      <c r="C185" s="21" t="s">
        <v>23</v>
      </c>
      <c r="D185" s="9" t="s">
        <v>315</v>
      </c>
      <c r="E185" s="12" t="s">
        <v>25</v>
      </c>
      <c r="F185" s="8"/>
      <c r="G185" s="9" t="s">
        <v>31</v>
      </c>
    </row>
    <row r="186" ht="15.0" customHeight="1">
      <c r="A186" s="8">
        <v>22.0</v>
      </c>
      <c r="B186" s="9" t="s">
        <v>317</v>
      </c>
      <c r="C186" s="21" t="s">
        <v>23</v>
      </c>
      <c r="D186" s="9" t="s">
        <v>315</v>
      </c>
      <c r="E186" s="12" t="s">
        <v>25</v>
      </c>
      <c r="F186" s="8"/>
      <c r="G186" s="9" t="s">
        <v>31</v>
      </c>
    </row>
    <row r="187" ht="15.0" customHeight="1">
      <c r="A187" s="5" t="s">
        <v>318</v>
      </c>
      <c r="B187" s="6"/>
      <c r="C187" s="6"/>
      <c r="D187" s="6"/>
      <c r="E187" s="6"/>
      <c r="F187" s="6"/>
      <c r="G187" s="7"/>
    </row>
    <row r="188" ht="15.0" customHeight="1">
      <c r="A188" s="8">
        <v>23.0</v>
      </c>
      <c r="B188" s="9" t="s">
        <v>36</v>
      </c>
      <c r="C188" s="11" t="s">
        <v>20</v>
      </c>
      <c r="D188" s="9" t="s">
        <v>42</v>
      </c>
      <c r="E188" s="12" t="s">
        <v>25</v>
      </c>
      <c r="F188" s="17" t="s">
        <v>32</v>
      </c>
      <c r="G188" s="9" t="s">
        <v>31</v>
      </c>
    </row>
    <row r="189" ht="15.0" customHeight="1">
      <c r="A189" s="8">
        <v>23.0</v>
      </c>
      <c r="B189" s="9" t="s">
        <v>319</v>
      </c>
      <c r="C189" s="11" t="s">
        <v>20</v>
      </c>
      <c r="D189" s="9" t="s">
        <v>40</v>
      </c>
      <c r="E189" s="12" t="s">
        <v>25</v>
      </c>
      <c r="F189" s="8"/>
      <c r="G189" s="9" t="s">
        <v>31</v>
      </c>
    </row>
    <row r="190" ht="15.0" customHeight="1">
      <c r="A190" s="8">
        <v>23.0</v>
      </c>
      <c r="B190" s="9" t="s">
        <v>320</v>
      </c>
      <c r="C190" s="11" t="s">
        <v>20</v>
      </c>
      <c r="D190" s="9" t="s">
        <v>40</v>
      </c>
      <c r="E190" s="12" t="s">
        <v>25</v>
      </c>
      <c r="F190" s="8"/>
      <c r="G190" s="9" t="s">
        <v>31</v>
      </c>
    </row>
    <row r="191" ht="15.0" customHeight="1">
      <c r="A191" s="8">
        <v>23.0</v>
      </c>
      <c r="B191" s="9" t="s">
        <v>321</v>
      </c>
      <c r="C191" s="11" t="s">
        <v>20</v>
      </c>
      <c r="D191" s="9" t="s">
        <v>40</v>
      </c>
      <c r="E191" s="12" t="s">
        <v>25</v>
      </c>
      <c r="F191" s="8"/>
      <c r="G191" s="9" t="s">
        <v>31</v>
      </c>
    </row>
    <row r="192" ht="15.0" customHeight="1">
      <c r="A192" s="8">
        <v>23.0</v>
      </c>
      <c r="B192" s="9" t="s">
        <v>79</v>
      </c>
      <c r="C192" s="11" t="s">
        <v>20</v>
      </c>
      <c r="D192" s="9" t="s">
        <v>42</v>
      </c>
      <c r="E192" s="12" t="s">
        <v>25</v>
      </c>
      <c r="F192" s="17" t="s">
        <v>32</v>
      </c>
      <c r="G192" s="9" t="s">
        <v>31</v>
      </c>
    </row>
    <row r="193" ht="15.0" customHeight="1">
      <c r="A193" s="8">
        <v>23.0</v>
      </c>
      <c r="B193" s="9" t="s">
        <v>80</v>
      </c>
      <c r="C193" s="18" t="s">
        <v>21</v>
      </c>
      <c r="D193" s="9" t="s">
        <v>40</v>
      </c>
      <c r="E193" s="12" t="s">
        <v>25</v>
      </c>
      <c r="F193" s="17" t="s">
        <v>32</v>
      </c>
      <c r="G193" s="9" t="s">
        <v>31</v>
      </c>
    </row>
    <row r="194" ht="15.0" customHeight="1">
      <c r="A194" s="8">
        <v>23.0</v>
      </c>
      <c r="B194" s="9" t="s">
        <v>322</v>
      </c>
      <c r="C194" s="18" t="s">
        <v>21</v>
      </c>
      <c r="D194" s="9" t="s">
        <v>28</v>
      </c>
      <c r="E194" s="12" t="s">
        <v>25</v>
      </c>
      <c r="F194" s="8"/>
      <c r="G194" s="9" t="s">
        <v>31</v>
      </c>
    </row>
    <row r="195" ht="15.0" customHeight="1">
      <c r="A195" s="8">
        <v>23.0</v>
      </c>
      <c r="B195" s="9" t="s">
        <v>323</v>
      </c>
      <c r="C195" s="18" t="s">
        <v>21</v>
      </c>
      <c r="D195" s="9" t="s">
        <v>40</v>
      </c>
      <c r="E195" s="12" t="s">
        <v>25</v>
      </c>
      <c r="F195" s="8"/>
      <c r="G195" s="9" t="s">
        <v>31</v>
      </c>
    </row>
    <row r="196" ht="15.0" customHeight="1">
      <c r="A196" s="8">
        <v>23.0</v>
      </c>
      <c r="B196" s="9" t="s">
        <v>324</v>
      </c>
      <c r="C196" s="21" t="s">
        <v>23</v>
      </c>
      <c r="D196" s="9" t="s">
        <v>28</v>
      </c>
      <c r="E196" s="12" t="s">
        <v>25</v>
      </c>
      <c r="F196" s="8"/>
      <c r="G196" s="9" t="s">
        <v>31</v>
      </c>
    </row>
    <row r="197" ht="15.0" customHeight="1">
      <c r="A197" s="8">
        <v>23.0</v>
      </c>
      <c r="B197" s="9" t="s">
        <v>49</v>
      </c>
      <c r="C197" s="21" t="s">
        <v>23</v>
      </c>
      <c r="D197" s="9" t="s">
        <v>28</v>
      </c>
      <c r="E197" s="12" t="s">
        <v>25</v>
      </c>
      <c r="F197" s="17" t="s">
        <v>32</v>
      </c>
      <c r="G197" s="9" t="s">
        <v>31</v>
      </c>
    </row>
    <row r="198" ht="15.0" customHeight="1">
      <c r="A198" s="5" t="s">
        <v>325</v>
      </c>
      <c r="B198" s="6"/>
      <c r="C198" s="6"/>
      <c r="D198" s="6"/>
      <c r="E198" s="6"/>
      <c r="F198" s="6"/>
      <c r="G198" s="7"/>
    </row>
    <row r="199" ht="15.0" customHeight="1">
      <c r="A199" s="8">
        <v>24.0</v>
      </c>
      <c r="B199" s="9" t="s">
        <v>58</v>
      </c>
      <c r="C199" s="11" t="s">
        <v>20</v>
      </c>
      <c r="D199" s="9" t="s">
        <v>42</v>
      </c>
      <c r="E199" s="12" t="s">
        <v>25</v>
      </c>
      <c r="F199" s="17" t="s">
        <v>32</v>
      </c>
      <c r="G199" s="9" t="s">
        <v>31</v>
      </c>
    </row>
    <row r="200" ht="15.0" customHeight="1">
      <c r="A200" s="8">
        <v>24.0</v>
      </c>
      <c r="B200" s="9" t="s">
        <v>84</v>
      </c>
      <c r="C200" s="18" t="s">
        <v>21</v>
      </c>
      <c r="D200" s="9" t="s">
        <v>42</v>
      </c>
      <c r="E200" s="12" t="s">
        <v>25</v>
      </c>
      <c r="F200" s="17" t="s">
        <v>32</v>
      </c>
      <c r="G200" s="9" t="s">
        <v>31</v>
      </c>
    </row>
    <row r="201" ht="15.0" customHeight="1">
      <c r="A201" s="8">
        <v>24.0</v>
      </c>
      <c r="B201" s="9" t="s">
        <v>326</v>
      </c>
      <c r="C201" s="18" t="s">
        <v>21</v>
      </c>
      <c r="D201" s="9" t="s">
        <v>28</v>
      </c>
      <c r="E201" s="12" t="s">
        <v>25</v>
      </c>
      <c r="F201" s="8"/>
      <c r="G201" s="9" t="s">
        <v>31</v>
      </c>
    </row>
    <row r="202" ht="15.0" customHeight="1">
      <c r="A202" s="8">
        <v>24.0</v>
      </c>
      <c r="B202" s="9" t="s">
        <v>327</v>
      </c>
      <c r="C202" s="18" t="s">
        <v>21</v>
      </c>
      <c r="D202" s="9" t="s">
        <v>28</v>
      </c>
      <c r="E202" s="12" t="s">
        <v>25</v>
      </c>
      <c r="F202" s="8"/>
      <c r="G202" s="9" t="s">
        <v>31</v>
      </c>
    </row>
    <row r="203" ht="15.0" customHeight="1">
      <c r="A203" s="8">
        <v>24.0</v>
      </c>
      <c r="B203" s="9" t="s">
        <v>328</v>
      </c>
      <c r="C203" s="18" t="s">
        <v>21</v>
      </c>
      <c r="D203" s="9" t="s">
        <v>28</v>
      </c>
      <c r="E203" s="12" t="s">
        <v>25</v>
      </c>
      <c r="F203" s="8"/>
      <c r="G203" s="9" t="s">
        <v>31</v>
      </c>
    </row>
    <row r="204" ht="15.0" customHeight="1">
      <c r="A204" s="8">
        <v>24.0</v>
      </c>
      <c r="B204" s="9" t="s">
        <v>329</v>
      </c>
      <c r="C204" s="18" t="s">
        <v>21</v>
      </c>
      <c r="D204" s="9" t="s">
        <v>28</v>
      </c>
      <c r="E204" s="12" t="s">
        <v>25</v>
      </c>
      <c r="F204" s="8"/>
      <c r="G204" s="9" t="s">
        <v>31</v>
      </c>
    </row>
    <row r="205" ht="15.0" customHeight="1">
      <c r="A205" s="8">
        <v>24.0</v>
      </c>
      <c r="B205" s="9" t="s">
        <v>45</v>
      </c>
      <c r="C205" s="18" t="s">
        <v>21</v>
      </c>
      <c r="D205" s="9" t="s">
        <v>28</v>
      </c>
      <c r="E205" s="12" t="s">
        <v>25</v>
      </c>
      <c r="F205" s="17" t="s">
        <v>32</v>
      </c>
      <c r="G205" s="9" t="s">
        <v>31</v>
      </c>
    </row>
    <row r="206" ht="15.0" customHeight="1">
      <c r="A206" s="8">
        <v>24.0</v>
      </c>
      <c r="B206" s="9" t="s">
        <v>330</v>
      </c>
      <c r="C206" s="21" t="s">
        <v>23</v>
      </c>
      <c r="D206" s="9" t="s">
        <v>28</v>
      </c>
      <c r="E206" s="12" t="s">
        <v>25</v>
      </c>
      <c r="F206" s="8"/>
      <c r="G206" s="9" t="s">
        <v>31</v>
      </c>
    </row>
    <row r="207" ht="15.0" customHeight="1">
      <c r="A207" s="8">
        <v>24.0</v>
      </c>
      <c r="B207" s="9" t="s">
        <v>331</v>
      </c>
      <c r="C207" s="21" t="s">
        <v>23</v>
      </c>
      <c r="D207" s="9" t="s">
        <v>40</v>
      </c>
      <c r="E207" s="12" t="s">
        <v>25</v>
      </c>
      <c r="F207" s="8"/>
      <c r="G207" s="9" t="s">
        <v>31</v>
      </c>
    </row>
    <row r="208" ht="15.0" customHeight="1">
      <c r="A208" s="8">
        <v>24.0</v>
      </c>
      <c r="B208" s="9" t="s">
        <v>332</v>
      </c>
      <c r="C208" s="23" t="s">
        <v>24</v>
      </c>
      <c r="D208" s="9" t="s">
        <v>233</v>
      </c>
      <c r="E208" s="12" t="s">
        <v>25</v>
      </c>
      <c r="F208" s="8"/>
      <c r="G208" s="9" t="s">
        <v>31</v>
      </c>
    </row>
    <row r="209" ht="15.0" customHeight="1">
      <c r="A209" s="5" t="s">
        <v>334</v>
      </c>
      <c r="B209" s="6"/>
      <c r="C209" s="6"/>
      <c r="D209" s="6"/>
      <c r="E209" s="6"/>
      <c r="F209" s="6"/>
      <c r="G209" s="7"/>
    </row>
    <row r="210" ht="15.0" customHeight="1">
      <c r="A210" s="8">
        <v>25.0</v>
      </c>
      <c r="B210" s="9" t="s">
        <v>175</v>
      </c>
      <c r="C210" s="18" t="s">
        <v>21</v>
      </c>
      <c r="D210" s="9" t="s">
        <v>42</v>
      </c>
      <c r="E210" s="12" t="s">
        <v>25</v>
      </c>
      <c r="F210" s="17" t="s">
        <v>32</v>
      </c>
      <c r="G210" s="9" t="s">
        <v>31</v>
      </c>
    </row>
    <row r="211" ht="15.0" customHeight="1">
      <c r="A211" s="8">
        <v>25.0</v>
      </c>
      <c r="B211" s="9" t="s">
        <v>173</v>
      </c>
      <c r="C211" s="18" t="s">
        <v>21</v>
      </c>
      <c r="D211" s="9" t="s">
        <v>233</v>
      </c>
      <c r="E211" s="12" t="s">
        <v>25</v>
      </c>
      <c r="F211" s="17" t="s">
        <v>32</v>
      </c>
      <c r="G211" s="9" t="s">
        <v>31</v>
      </c>
    </row>
    <row r="212" ht="15.0" customHeight="1">
      <c r="A212" s="5" t="s">
        <v>335</v>
      </c>
      <c r="B212" s="6"/>
      <c r="C212" s="6"/>
      <c r="D212" s="6"/>
      <c r="E212" s="6"/>
      <c r="F212" s="6"/>
      <c r="G212" s="7"/>
    </row>
    <row r="213" ht="15.0" customHeight="1">
      <c r="A213" s="8">
        <v>26.0</v>
      </c>
      <c r="B213" s="9" t="s">
        <v>336</v>
      </c>
      <c r="C213" s="18" t="s">
        <v>21</v>
      </c>
      <c r="D213" s="9" t="s">
        <v>57</v>
      </c>
      <c r="E213" s="12" t="s">
        <v>25</v>
      </c>
      <c r="F213" s="8"/>
      <c r="G213" s="9" t="s">
        <v>31</v>
      </c>
    </row>
    <row r="214" ht="15.0" customHeight="1">
      <c r="A214" s="8">
        <v>26.0</v>
      </c>
      <c r="B214" s="9" t="s">
        <v>337</v>
      </c>
      <c r="C214" s="18" t="s">
        <v>21</v>
      </c>
      <c r="D214" s="9" t="s">
        <v>170</v>
      </c>
      <c r="E214" s="12" t="s">
        <v>25</v>
      </c>
      <c r="F214" s="8"/>
      <c r="G214" s="9" t="s">
        <v>31</v>
      </c>
    </row>
    <row r="215" ht="15.0" customHeight="1">
      <c r="A215" s="8">
        <v>26.0</v>
      </c>
      <c r="B215" s="9" t="s">
        <v>338</v>
      </c>
      <c r="C215" s="18" t="s">
        <v>21</v>
      </c>
      <c r="D215" s="9" t="s">
        <v>118</v>
      </c>
      <c r="E215" s="12" t="s">
        <v>25</v>
      </c>
      <c r="F215" s="8"/>
      <c r="G215" s="9" t="s">
        <v>31</v>
      </c>
    </row>
    <row r="216" ht="15.0" customHeight="1">
      <c r="A216" s="8">
        <v>26.0</v>
      </c>
      <c r="B216" s="9" t="s">
        <v>339</v>
      </c>
      <c r="C216" s="18" t="s">
        <v>21</v>
      </c>
      <c r="D216" s="9" t="s">
        <v>192</v>
      </c>
      <c r="E216" s="12" t="s">
        <v>25</v>
      </c>
      <c r="F216" s="8"/>
      <c r="G216" s="9" t="s">
        <v>31</v>
      </c>
    </row>
    <row r="217" ht="15.0" customHeight="1">
      <c r="A217" s="8">
        <v>26.0</v>
      </c>
      <c r="B217" s="9" t="s">
        <v>340</v>
      </c>
      <c r="C217" s="23" t="s">
        <v>24</v>
      </c>
      <c r="D217" s="9" t="s">
        <v>57</v>
      </c>
      <c r="E217" s="12" t="s">
        <v>25</v>
      </c>
      <c r="F217" s="8"/>
      <c r="G217" s="9" t="s">
        <v>31</v>
      </c>
    </row>
    <row r="218" ht="15.0" customHeight="1">
      <c r="A218" s="5" t="s">
        <v>341</v>
      </c>
      <c r="B218" s="6"/>
      <c r="C218" s="6"/>
      <c r="D218" s="6"/>
      <c r="E218" s="6"/>
      <c r="F218" s="6"/>
      <c r="G218" s="7"/>
    </row>
    <row r="219" ht="15.0" customHeight="1">
      <c r="A219" s="8">
        <v>27.0</v>
      </c>
      <c r="B219" s="9" t="s">
        <v>215</v>
      </c>
      <c r="C219" s="11" t="s">
        <v>20</v>
      </c>
      <c r="D219" s="9" t="s">
        <v>42</v>
      </c>
      <c r="E219" s="12" t="s">
        <v>25</v>
      </c>
      <c r="F219" s="17" t="s">
        <v>32</v>
      </c>
      <c r="G219" s="9" t="s">
        <v>31</v>
      </c>
    </row>
    <row r="220" ht="15.0" customHeight="1">
      <c r="A220" s="8">
        <v>27.0</v>
      </c>
      <c r="B220" s="9" t="s">
        <v>213</v>
      </c>
      <c r="C220" s="11" t="s">
        <v>20</v>
      </c>
      <c r="D220" s="9" t="s">
        <v>42</v>
      </c>
      <c r="E220" s="12" t="s">
        <v>25</v>
      </c>
      <c r="F220" s="17" t="s">
        <v>32</v>
      </c>
      <c r="G220" s="9" t="s">
        <v>31</v>
      </c>
    </row>
    <row r="221" ht="15.0" customHeight="1">
      <c r="A221" s="8">
        <v>27.0</v>
      </c>
      <c r="B221" s="9" t="s">
        <v>217</v>
      </c>
      <c r="C221" s="11" t="s">
        <v>20</v>
      </c>
      <c r="D221" s="9" t="s">
        <v>42</v>
      </c>
      <c r="E221" s="12" t="s">
        <v>25</v>
      </c>
      <c r="F221" s="17" t="s">
        <v>32</v>
      </c>
      <c r="G221" s="9" t="s">
        <v>31</v>
      </c>
    </row>
    <row r="222" ht="15.0" customHeight="1">
      <c r="A222" s="8">
        <v>27.0</v>
      </c>
      <c r="B222" s="9" t="s">
        <v>219</v>
      </c>
      <c r="C222" s="18" t="s">
        <v>21</v>
      </c>
      <c r="D222" s="9" t="s">
        <v>42</v>
      </c>
      <c r="E222" s="12" t="s">
        <v>25</v>
      </c>
      <c r="F222" s="17" t="s">
        <v>32</v>
      </c>
      <c r="G222" s="9" t="s">
        <v>31</v>
      </c>
    </row>
    <row r="223" ht="15.0" customHeight="1">
      <c r="A223" s="5" t="s">
        <v>342</v>
      </c>
      <c r="B223" s="6"/>
      <c r="C223" s="6"/>
      <c r="D223" s="6"/>
      <c r="E223" s="6"/>
      <c r="F223" s="6"/>
      <c r="G223" s="7"/>
    </row>
    <row r="224" ht="15.0" customHeight="1">
      <c r="A224" s="8">
        <v>28.0</v>
      </c>
      <c r="B224" s="9" t="s">
        <v>343</v>
      </c>
      <c r="C224" s="11" t="s">
        <v>20</v>
      </c>
      <c r="D224" s="9" t="s">
        <v>40</v>
      </c>
      <c r="E224" s="12" t="s">
        <v>25</v>
      </c>
      <c r="F224" s="8"/>
      <c r="G224" s="9" t="s">
        <v>31</v>
      </c>
    </row>
    <row r="225" ht="15.0" customHeight="1">
      <c r="A225" s="8">
        <v>28.0</v>
      </c>
      <c r="B225" s="9" t="s">
        <v>344</v>
      </c>
      <c r="C225" s="21" t="s">
        <v>23</v>
      </c>
      <c r="D225" s="9" t="s">
        <v>28</v>
      </c>
      <c r="E225" s="12" t="s">
        <v>25</v>
      </c>
      <c r="F225" s="8"/>
      <c r="G225" s="9" t="s">
        <v>31</v>
      </c>
    </row>
    <row r="226" ht="15.0" customHeight="1">
      <c r="A226" s="8">
        <v>28.0</v>
      </c>
      <c r="B226" s="9" t="s">
        <v>345</v>
      </c>
      <c r="C226" s="23" t="s">
        <v>24</v>
      </c>
      <c r="D226" s="9" t="s">
        <v>28</v>
      </c>
      <c r="E226" s="12" t="s">
        <v>25</v>
      </c>
      <c r="F226" s="8"/>
      <c r="G226" s="9" t="s">
        <v>31</v>
      </c>
    </row>
    <row r="227" ht="15.0" customHeight="1">
      <c r="A227" s="8">
        <v>28.0</v>
      </c>
      <c r="B227" s="9" t="s">
        <v>346</v>
      </c>
      <c r="C227" s="23" t="s">
        <v>24</v>
      </c>
      <c r="D227" s="9" t="s">
        <v>28</v>
      </c>
      <c r="E227" s="12" t="s">
        <v>25</v>
      </c>
      <c r="F227" s="8"/>
      <c r="G227" s="9" t="s">
        <v>31</v>
      </c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28">
    <mergeCell ref="A2:G2"/>
    <mergeCell ref="A16:G16"/>
    <mergeCell ref="A21:G21"/>
    <mergeCell ref="A26:G26"/>
    <mergeCell ref="A33:G33"/>
    <mergeCell ref="A42:G42"/>
    <mergeCell ref="A44:G44"/>
    <mergeCell ref="A46:G46"/>
    <mergeCell ref="A49:G49"/>
    <mergeCell ref="A58:G58"/>
    <mergeCell ref="A61:G61"/>
    <mergeCell ref="A66:G66"/>
    <mergeCell ref="A75:G75"/>
    <mergeCell ref="A106:G106"/>
    <mergeCell ref="A182:G182"/>
    <mergeCell ref="A187:G187"/>
    <mergeCell ref="A198:G198"/>
    <mergeCell ref="A209:G209"/>
    <mergeCell ref="A212:G212"/>
    <mergeCell ref="A218:G218"/>
    <mergeCell ref="A223:G223"/>
    <mergeCell ref="A109:G109"/>
    <mergeCell ref="A112:G112"/>
    <mergeCell ref="A115:G115"/>
    <mergeCell ref="A122:G122"/>
    <mergeCell ref="A135:G135"/>
    <mergeCell ref="A152:G152"/>
    <mergeCell ref="A178:G178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7"/>
    <hyperlink r:id="rId15" ref="E18"/>
    <hyperlink r:id="rId16" ref="E19"/>
    <hyperlink r:id="rId17" ref="E20"/>
    <hyperlink r:id="rId18" ref="E22"/>
    <hyperlink r:id="rId19" ref="E23"/>
    <hyperlink r:id="rId20" ref="E24"/>
    <hyperlink r:id="rId21" ref="E25"/>
    <hyperlink r:id="rId22" ref="E27"/>
    <hyperlink r:id="rId23" ref="E28"/>
    <hyperlink r:id="rId24" ref="E29"/>
    <hyperlink r:id="rId25" ref="E30"/>
    <hyperlink r:id="rId26" ref="E31"/>
    <hyperlink r:id="rId27" ref="E32"/>
    <hyperlink r:id="rId28" ref="E34"/>
    <hyperlink r:id="rId29" ref="E35"/>
    <hyperlink r:id="rId30" ref="E36"/>
    <hyperlink r:id="rId31" ref="E37"/>
    <hyperlink r:id="rId32" ref="E38"/>
    <hyperlink r:id="rId33" ref="E39"/>
    <hyperlink r:id="rId34" ref="E40"/>
    <hyperlink r:id="rId35" ref="E41"/>
    <hyperlink r:id="rId36" ref="E43"/>
    <hyperlink r:id="rId37" ref="E45"/>
    <hyperlink r:id="rId38" ref="E47"/>
    <hyperlink r:id="rId39" ref="E48"/>
    <hyperlink r:id="rId40" ref="E50"/>
    <hyperlink r:id="rId41" ref="E51"/>
    <hyperlink r:id="rId42" ref="E52"/>
    <hyperlink r:id="rId43" ref="E53"/>
    <hyperlink r:id="rId44" ref="E54"/>
    <hyperlink r:id="rId45" ref="E55"/>
    <hyperlink r:id="rId46" ref="E56"/>
    <hyperlink r:id="rId47" ref="E57"/>
    <hyperlink r:id="rId48" ref="E59"/>
    <hyperlink r:id="rId49" ref="E60"/>
    <hyperlink r:id="rId50" ref="E62"/>
    <hyperlink r:id="rId51" ref="E63"/>
    <hyperlink r:id="rId52" ref="E64"/>
    <hyperlink r:id="rId53" ref="E65"/>
    <hyperlink r:id="rId54" ref="E67"/>
    <hyperlink r:id="rId55" ref="E68"/>
    <hyperlink r:id="rId56" ref="E69"/>
    <hyperlink r:id="rId57" ref="E70"/>
    <hyperlink r:id="rId58" ref="E71"/>
    <hyperlink r:id="rId59" ref="E72"/>
    <hyperlink r:id="rId60" ref="E73"/>
    <hyperlink r:id="rId61" ref="E74"/>
    <hyperlink r:id="rId62" ref="E76"/>
    <hyperlink r:id="rId63" ref="E77"/>
    <hyperlink r:id="rId64" ref="E78"/>
    <hyperlink r:id="rId65" ref="E79"/>
    <hyperlink r:id="rId66" ref="E80"/>
    <hyperlink r:id="rId67" ref="E81"/>
    <hyperlink r:id="rId68" ref="E82"/>
    <hyperlink r:id="rId69" ref="E83"/>
    <hyperlink r:id="rId70" ref="E84"/>
    <hyperlink r:id="rId71" ref="E85"/>
    <hyperlink r:id="rId72" ref="E86"/>
    <hyperlink r:id="rId73" ref="E87"/>
    <hyperlink r:id="rId74" ref="E88"/>
    <hyperlink r:id="rId75" ref="E89"/>
    <hyperlink r:id="rId76" ref="E90"/>
    <hyperlink r:id="rId77" ref="E91"/>
    <hyperlink r:id="rId78" ref="E92"/>
    <hyperlink r:id="rId79" ref="E93"/>
    <hyperlink r:id="rId80" ref="E94"/>
    <hyperlink r:id="rId81" ref="E95"/>
    <hyperlink r:id="rId82" ref="E96"/>
    <hyperlink r:id="rId83" ref="E97"/>
    <hyperlink r:id="rId84" ref="E98"/>
    <hyperlink r:id="rId85" ref="E99"/>
    <hyperlink r:id="rId86" ref="E100"/>
    <hyperlink r:id="rId87" ref="E101"/>
    <hyperlink r:id="rId88" ref="E102"/>
    <hyperlink r:id="rId89" ref="E103"/>
    <hyperlink r:id="rId90" ref="E104"/>
    <hyperlink r:id="rId91" ref="E105"/>
    <hyperlink r:id="rId92" ref="E107"/>
    <hyperlink r:id="rId93" ref="E108"/>
    <hyperlink r:id="rId94" ref="E110"/>
    <hyperlink r:id="rId95" ref="E111"/>
    <hyperlink r:id="rId96" ref="E113"/>
    <hyperlink r:id="rId97" ref="E114"/>
    <hyperlink r:id="rId98" ref="E116"/>
    <hyperlink r:id="rId99" ref="E117"/>
    <hyperlink r:id="rId100" ref="E118"/>
    <hyperlink r:id="rId101" ref="E119"/>
    <hyperlink r:id="rId102" ref="E120"/>
    <hyperlink r:id="rId103" ref="E121"/>
    <hyperlink r:id="rId104" ref="E123"/>
    <hyperlink r:id="rId105" ref="E124"/>
    <hyperlink r:id="rId106" ref="E125"/>
    <hyperlink r:id="rId107" ref="E126"/>
    <hyperlink r:id="rId108" ref="E127"/>
    <hyperlink r:id="rId109" ref="E128"/>
    <hyperlink r:id="rId110" ref="E129"/>
    <hyperlink r:id="rId111" ref="E130"/>
    <hyperlink r:id="rId112" ref="E131"/>
    <hyperlink r:id="rId113" ref="E132"/>
    <hyperlink r:id="rId114" ref="E133"/>
    <hyperlink r:id="rId115" ref="E134"/>
    <hyperlink r:id="rId116" ref="E136"/>
    <hyperlink r:id="rId117" ref="E137"/>
    <hyperlink r:id="rId118" ref="E138"/>
    <hyperlink r:id="rId119" ref="E139"/>
    <hyperlink r:id="rId120" ref="E140"/>
    <hyperlink r:id="rId121" ref="E141"/>
    <hyperlink r:id="rId122" ref="E142"/>
    <hyperlink r:id="rId123" ref="E143"/>
    <hyperlink r:id="rId124" ref="E144"/>
    <hyperlink r:id="rId125" ref="E145"/>
    <hyperlink r:id="rId126" ref="E146"/>
    <hyperlink r:id="rId127" ref="E147"/>
    <hyperlink r:id="rId128" ref="E148"/>
    <hyperlink r:id="rId129" ref="E149"/>
    <hyperlink r:id="rId130" ref="E150"/>
    <hyperlink r:id="rId131" ref="E151"/>
    <hyperlink r:id="rId132" ref="E153"/>
    <hyperlink r:id="rId133" ref="E154"/>
    <hyperlink r:id="rId134" ref="E155"/>
    <hyperlink r:id="rId135" ref="E156"/>
    <hyperlink r:id="rId136" ref="E157"/>
    <hyperlink r:id="rId137" ref="E158"/>
    <hyperlink r:id="rId138" ref="E159"/>
    <hyperlink r:id="rId139" ref="E160"/>
    <hyperlink r:id="rId140" ref="E161"/>
    <hyperlink r:id="rId141" ref="E162"/>
    <hyperlink r:id="rId142" ref="E163"/>
    <hyperlink r:id="rId143" ref="E164"/>
    <hyperlink r:id="rId144" ref="E165"/>
    <hyperlink r:id="rId145" ref="E166"/>
    <hyperlink r:id="rId146" ref="E167"/>
    <hyperlink r:id="rId147" ref="E168"/>
    <hyperlink r:id="rId148" ref="E169"/>
    <hyperlink r:id="rId149" ref="E170"/>
    <hyperlink r:id="rId150" ref="E171"/>
    <hyperlink r:id="rId151" ref="E172"/>
    <hyperlink r:id="rId152" ref="E173"/>
    <hyperlink r:id="rId153" ref="E174"/>
    <hyperlink r:id="rId154" ref="E175"/>
    <hyperlink r:id="rId155" ref="E176"/>
    <hyperlink r:id="rId156" ref="E177"/>
    <hyperlink r:id="rId157" ref="E179"/>
    <hyperlink r:id="rId158" ref="E180"/>
    <hyperlink r:id="rId159" ref="E181"/>
    <hyperlink r:id="rId160" ref="E183"/>
    <hyperlink r:id="rId161" ref="E184"/>
    <hyperlink r:id="rId162" ref="E185"/>
    <hyperlink r:id="rId163" ref="E186"/>
    <hyperlink r:id="rId164" ref="E188"/>
    <hyperlink r:id="rId165" ref="E189"/>
    <hyperlink r:id="rId166" ref="E190"/>
    <hyperlink r:id="rId167" ref="E191"/>
    <hyperlink r:id="rId168" ref="E192"/>
    <hyperlink r:id="rId169" ref="E193"/>
    <hyperlink r:id="rId170" ref="E194"/>
    <hyperlink r:id="rId171" ref="E195"/>
    <hyperlink r:id="rId172" ref="E196"/>
    <hyperlink r:id="rId173" ref="E197"/>
    <hyperlink r:id="rId174" ref="E199"/>
    <hyperlink r:id="rId175" ref="E200"/>
    <hyperlink r:id="rId176" ref="E201"/>
    <hyperlink r:id="rId177" ref="E202"/>
    <hyperlink r:id="rId178" ref="E203"/>
    <hyperlink r:id="rId179" ref="E204"/>
    <hyperlink r:id="rId180" ref="E205"/>
    <hyperlink r:id="rId181" ref="E206"/>
    <hyperlink r:id="rId182" ref="E207"/>
    <hyperlink r:id="rId183" ref="E208"/>
    <hyperlink r:id="rId184" ref="E210"/>
    <hyperlink r:id="rId185" ref="E211"/>
    <hyperlink r:id="rId186" ref="E213"/>
    <hyperlink r:id="rId187" ref="E214"/>
    <hyperlink r:id="rId188" ref="E215"/>
    <hyperlink r:id="rId189" ref="E216"/>
    <hyperlink r:id="rId190" ref="E217"/>
    <hyperlink r:id="rId191" ref="E219"/>
    <hyperlink r:id="rId192" ref="E220"/>
    <hyperlink r:id="rId193" ref="E221"/>
    <hyperlink r:id="rId194" ref="E222"/>
    <hyperlink r:id="rId195" ref="E224"/>
    <hyperlink r:id="rId196" ref="E225"/>
    <hyperlink r:id="rId197" ref="E226"/>
    <hyperlink r:id="rId198" ref="E227"/>
  </hyperlinks>
  <printOptions/>
  <pageMargins bottom="1.0" footer="0.0" header="0.0" left="0.75" right="0.75" top="1.0"/>
  <pageSetup paperSize="9" orientation="portrait"/>
  <drawing r:id="rId19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50.0"/>
    <col customWidth="1" min="3" max="3" width="8.0"/>
    <col customWidth="1" min="4" max="4" width="20.0"/>
    <col customWidth="1" min="5" max="5" width="40.0"/>
    <col customWidth="1" min="6" max="6" width="16.0"/>
    <col customWidth="1" min="7" max="26" width="8.71"/>
  </cols>
  <sheetData>
    <row r="1" ht="15.75" customHeight="1">
      <c r="A1" s="1" t="s">
        <v>2</v>
      </c>
      <c r="B1" s="4"/>
      <c r="C1" s="4"/>
      <c r="D1" s="4"/>
      <c r="E1" s="4"/>
      <c r="F1" s="4"/>
    </row>
    <row r="2" ht="15.0" customHeight="1">
      <c r="A2" s="4"/>
      <c r="B2" s="4"/>
      <c r="C2" s="4"/>
      <c r="D2" s="4"/>
      <c r="E2" s="4"/>
      <c r="F2" s="4"/>
    </row>
    <row r="3" ht="15.0" customHeight="1">
      <c r="A3" s="2" t="s">
        <v>3</v>
      </c>
      <c r="B3" s="2" t="s">
        <v>14</v>
      </c>
      <c r="C3" s="2" t="s">
        <v>8</v>
      </c>
      <c r="D3" s="2" t="s">
        <v>15</v>
      </c>
      <c r="E3" s="2" t="s">
        <v>16</v>
      </c>
      <c r="F3" s="2" t="s">
        <v>19</v>
      </c>
    </row>
    <row r="4" ht="15.0" customHeight="1">
      <c r="A4" s="8">
        <v>1.0</v>
      </c>
      <c r="B4" s="9" t="s">
        <v>22</v>
      </c>
      <c r="C4" s="12" t="s">
        <v>25</v>
      </c>
      <c r="D4" s="11" t="s">
        <v>32</v>
      </c>
      <c r="E4" s="9" t="s">
        <v>33</v>
      </c>
      <c r="F4" s="8" t="s">
        <v>35</v>
      </c>
    </row>
    <row r="5" ht="15.0" customHeight="1">
      <c r="A5" s="8">
        <v>2.0</v>
      </c>
      <c r="B5" s="9" t="s">
        <v>36</v>
      </c>
      <c r="C5" s="12" t="s">
        <v>25</v>
      </c>
      <c r="D5" s="15" t="s">
        <v>41</v>
      </c>
      <c r="E5" s="13" t="s">
        <v>42</v>
      </c>
      <c r="F5" s="8" t="s">
        <v>42</v>
      </c>
    </row>
    <row r="6" ht="15.0" customHeight="1">
      <c r="A6" s="8">
        <v>3.0</v>
      </c>
      <c r="B6" s="9" t="s">
        <v>43</v>
      </c>
      <c r="C6" s="12" t="s">
        <v>25</v>
      </c>
      <c r="D6" s="15" t="s">
        <v>41</v>
      </c>
      <c r="E6" s="13" t="s">
        <v>42</v>
      </c>
      <c r="F6" s="8" t="s">
        <v>42</v>
      </c>
    </row>
    <row r="7" ht="15.0" customHeight="1">
      <c r="A7" s="8">
        <v>4.0</v>
      </c>
      <c r="B7" s="9" t="s">
        <v>45</v>
      </c>
      <c r="C7" s="12" t="s">
        <v>25</v>
      </c>
      <c r="D7" s="11" t="s">
        <v>32</v>
      </c>
      <c r="E7" s="9" t="s">
        <v>47</v>
      </c>
      <c r="F7" s="8" t="s">
        <v>35</v>
      </c>
    </row>
    <row r="8" ht="15.0" customHeight="1">
      <c r="A8" s="8">
        <v>5.0</v>
      </c>
      <c r="B8" s="9" t="s">
        <v>49</v>
      </c>
      <c r="C8" s="12" t="s">
        <v>25</v>
      </c>
      <c r="D8" s="11" t="s">
        <v>32</v>
      </c>
      <c r="E8" s="9" t="s">
        <v>50</v>
      </c>
      <c r="F8" s="8" t="s">
        <v>35</v>
      </c>
    </row>
    <row r="9" ht="15.0" customHeight="1">
      <c r="A9" s="8">
        <v>6.0</v>
      </c>
      <c r="B9" s="9" t="s">
        <v>48</v>
      </c>
      <c r="C9" s="12" t="s">
        <v>25</v>
      </c>
      <c r="D9" s="11" t="s">
        <v>32</v>
      </c>
      <c r="E9" s="9" t="s">
        <v>54</v>
      </c>
      <c r="F9" s="8" t="s">
        <v>35</v>
      </c>
    </row>
    <row r="10" ht="15.0" customHeight="1">
      <c r="A10" s="8">
        <v>7.0</v>
      </c>
      <c r="B10" s="9" t="s">
        <v>53</v>
      </c>
      <c r="C10" s="12" t="s">
        <v>25</v>
      </c>
      <c r="D10" s="15" t="s">
        <v>41</v>
      </c>
      <c r="E10" s="13" t="s">
        <v>42</v>
      </c>
      <c r="F10" s="8" t="s">
        <v>42</v>
      </c>
    </row>
    <row r="11" ht="15.0" customHeight="1">
      <c r="A11" s="8">
        <v>8.0</v>
      </c>
      <c r="B11" s="9" t="s">
        <v>58</v>
      </c>
      <c r="C11" s="12" t="s">
        <v>25</v>
      </c>
      <c r="D11" s="15" t="s">
        <v>41</v>
      </c>
      <c r="E11" s="13" t="s">
        <v>42</v>
      </c>
      <c r="F11" s="8" t="s">
        <v>42</v>
      </c>
    </row>
    <row r="12" ht="15.0" customHeight="1">
      <c r="A12" s="8">
        <v>9.0</v>
      </c>
      <c r="B12" s="9" t="s">
        <v>60</v>
      </c>
      <c r="C12" s="12" t="s">
        <v>25</v>
      </c>
      <c r="D12" s="15" t="s">
        <v>41</v>
      </c>
      <c r="E12" s="13" t="s">
        <v>42</v>
      </c>
      <c r="F12" s="8" t="s">
        <v>42</v>
      </c>
    </row>
    <row r="13" ht="15.0" customHeight="1">
      <c r="A13" s="8">
        <v>10.0</v>
      </c>
      <c r="B13" s="9" t="s">
        <v>62</v>
      </c>
      <c r="C13" s="12" t="s">
        <v>25</v>
      </c>
      <c r="D13" s="15" t="s">
        <v>41</v>
      </c>
      <c r="E13" s="13" t="s">
        <v>42</v>
      </c>
      <c r="F13" s="8" t="s">
        <v>42</v>
      </c>
    </row>
    <row r="14" ht="15.0" customHeight="1">
      <c r="A14" s="8">
        <v>11.0</v>
      </c>
      <c r="B14" s="9" t="s">
        <v>64</v>
      </c>
      <c r="C14" s="12" t="s">
        <v>25</v>
      </c>
      <c r="D14" s="11" t="s">
        <v>32</v>
      </c>
      <c r="E14" s="9" t="s">
        <v>66</v>
      </c>
      <c r="F14" s="8" t="s">
        <v>35</v>
      </c>
    </row>
    <row r="15" ht="15.0" customHeight="1">
      <c r="A15" s="8">
        <v>12.0</v>
      </c>
      <c r="B15" s="9" t="s">
        <v>67</v>
      </c>
      <c r="C15" s="12" t="s">
        <v>25</v>
      </c>
      <c r="D15" s="15" t="s">
        <v>41</v>
      </c>
      <c r="E15" s="13" t="s">
        <v>42</v>
      </c>
      <c r="F15" s="8" t="s">
        <v>42</v>
      </c>
    </row>
    <row r="16" ht="15.0" customHeight="1">
      <c r="A16" s="8">
        <v>13.0</v>
      </c>
      <c r="B16" s="9" t="s">
        <v>69</v>
      </c>
      <c r="C16" s="12" t="s">
        <v>25</v>
      </c>
      <c r="D16" s="15" t="s">
        <v>41</v>
      </c>
      <c r="E16" s="13" t="s">
        <v>42</v>
      </c>
      <c r="F16" s="8" t="s">
        <v>42</v>
      </c>
    </row>
    <row r="17" ht="15.0" customHeight="1">
      <c r="A17" s="8">
        <v>14.0</v>
      </c>
      <c r="B17" s="9" t="s">
        <v>72</v>
      </c>
      <c r="C17" s="12" t="s">
        <v>25</v>
      </c>
      <c r="D17" s="11" t="s">
        <v>32</v>
      </c>
      <c r="E17" s="9" t="s">
        <v>73</v>
      </c>
      <c r="F17" s="8" t="s">
        <v>35</v>
      </c>
    </row>
    <row r="18" ht="15.0" customHeight="1">
      <c r="A18" s="8">
        <v>15.0</v>
      </c>
      <c r="B18" s="9" t="s">
        <v>75</v>
      </c>
      <c r="C18" s="12" t="s">
        <v>25</v>
      </c>
      <c r="D18" s="11" t="s">
        <v>32</v>
      </c>
      <c r="E18" s="9" t="s">
        <v>76</v>
      </c>
      <c r="F18" s="8" t="s">
        <v>78</v>
      </c>
    </row>
    <row r="19" ht="15.0" customHeight="1">
      <c r="A19" s="8">
        <v>16.0</v>
      </c>
      <c r="B19" s="9" t="s">
        <v>79</v>
      </c>
      <c r="C19" s="12" t="s">
        <v>25</v>
      </c>
      <c r="D19" s="15" t="s">
        <v>41</v>
      </c>
      <c r="E19" s="13" t="s">
        <v>42</v>
      </c>
      <c r="F19" s="8" t="s">
        <v>42</v>
      </c>
    </row>
    <row r="20" ht="15.0" customHeight="1">
      <c r="A20" s="8">
        <v>17.0</v>
      </c>
      <c r="B20" s="9" t="s">
        <v>80</v>
      </c>
      <c r="C20" s="12" t="s">
        <v>25</v>
      </c>
      <c r="D20" s="11" t="s">
        <v>32</v>
      </c>
      <c r="E20" s="9" t="s">
        <v>80</v>
      </c>
      <c r="F20" s="8" t="s">
        <v>35</v>
      </c>
    </row>
    <row r="21" ht="15.0" customHeight="1">
      <c r="A21" s="8">
        <v>18.0</v>
      </c>
      <c r="B21" s="9" t="s">
        <v>84</v>
      </c>
      <c r="C21" s="12" t="s">
        <v>25</v>
      </c>
      <c r="D21" s="15" t="s">
        <v>41</v>
      </c>
      <c r="E21" s="13" t="s">
        <v>42</v>
      </c>
      <c r="F21" s="8" t="s">
        <v>42</v>
      </c>
    </row>
    <row r="22" ht="15.0" customHeight="1">
      <c r="A22" s="8">
        <v>19.0</v>
      </c>
      <c r="B22" s="9" t="s">
        <v>44</v>
      </c>
      <c r="C22" s="12" t="s">
        <v>25</v>
      </c>
      <c r="D22" s="11" t="s">
        <v>32</v>
      </c>
      <c r="E22" s="9" t="s">
        <v>86</v>
      </c>
      <c r="F22" s="8" t="s">
        <v>35</v>
      </c>
    </row>
    <row r="23" ht="15.0" customHeight="1">
      <c r="A23" s="8">
        <v>20.0</v>
      </c>
      <c r="B23" s="9" t="s">
        <v>87</v>
      </c>
      <c r="C23" s="12" t="s">
        <v>25</v>
      </c>
      <c r="D23" s="11" t="s">
        <v>32</v>
      </c>
      <c r="E23" s="9" t="s">
        <v>89</v>
      </c>
      <c r="F23" s="8" t="s">
        <v>35</v>
      </c>
    </row>
    <row r="24" ht="15.0" customHeight="1">
      <c r="A24" s="8">
        <v>21.0</v>
      </c>
      <c r="B24" s="9" t="s">
        <v>90</v>
      </c>
      <c r="C24" s="12" t="s">
        <v>25</v>
      </c>
      <c r="D24" s="15" t="s">
        <v>41</v>
      </c>
      <c r="E24" s="13" t="s">
        <v>42</v>
      </c>
      <c r="F24" s="8" t="s">
        <v>42</v>
      </c>
    </row>
    <row r="25" ht="15.0" customHeight="1">
      <c r="A25" s="8">
        <v>22.0</v>
      </c>
      <c r="B25" s="9" t="s">
        <v>93</v>
      </c>
      <c r="C25" s="12" t="s">
        <v>25</v>
      </c>
      <c r="D25" s="11" t="s">
        <v>32</v>
      </c>
      <c r="E25" s="9" t="s">
        <v>94</v>
      </c>
      <c r="F25" s="8" t="s">
        <v>35</v>
      </c>
    </row>
    <row r="26" ht="15.0" customHeight="1">
      <c r="A26" s="8">
        <v>23.0</v>
      </c>
      <c r="B26" s="9" t="s">
        <v>96</v>
      </c>
      <c r="C26" s="12" t="s">
        <v>25</v>
      </c>
      <c r="D26" s="11" t="s">
        <v>32</v>
      </c>
      <c r="E26" s="9" t="s">
        <v>96</v>
      </c>
      <c r="F26" s="8" t="s">
        <v>35</v>
      </c>
    </row>
    <row r="27" ht="15.0" customHeight="1">
      <c r="A27" s="8">
        <v>24.0</v>
      </c>
      <c r="B27" s="9" t="s">
        <v>97</v>
      </c>
      <c r="C27" s="12" t="s">
        <v>25</v>
      </c>
      <c r="D27" s="15" t="s">
        <v>41</v>
      </c>
      <c r="E27" s="13" t="s">
        <v>42</v>
      </c>
      <c r="F27" s="8" t="s">
        <v>42</v>
      </c>
    </row>
    <row r="28" ht="15.0" customHeight="1">
      <c r="A28" s="8">
        <v>25.0</v>
      </c>
      <c r="B28" s="9" t="s">
        <v>99</v>
      </c>
      <c r="C28" s="12" t="s">
        <v>25</v>
      </c>
      <c r="D28" s="11" t="s">
        <v>32</v>
      </c>
      <c r="E28" s="9" t="s">
        <v>101</v>
      </c>
      <c r="F28" s="8" t="s">
        <v>35</v>
      </c>
    </row>
    <row r="29" ht="15.0" customHeight="1">
      <c r="A29" s="8">
        <v>26.0</v>
      </c>
      <c r="B29" s="9" t="s">
        <v>102</v>
      </c>
      <c r="C29" s="12" t="s">
        <v>25</v>
      </c>
      <c r="D29" s="15" t="s">
        <v>41</v>
      </c>
      <c r="E29" s="13" t="s">
        <v>42</v>
      </c>
      <c r="F29" s="8" t="s">
        <v>42</v>
      </c>
    </row>
    <row r="30" ht="15.0" customHeight="1">
      <c r="A30" s="8">
        <v>27.0</v>
      </c>
      <c r="B30" s="9" t="s">
        <v>104</v>
      </c>
      <c r="C30" s="12" t="s">
        <v>25</v>
      </c>
      <c r="D30" s="11" t="s">
        <v>32</v>
      </c>
      <c r="E30" s="9" t="s">
        <v>105</v>
      </c>
      <c r="F30" s="8" t="s">
        <v>35</v>
      </c>
    </row>
    <row r="31" ht="15.0" customHeight="1">
      <c r="A31" s="8">
        <v>28.0</v>
      </c>
      <c r="B31" s="9" t="s">
        <v>106</v>
      </c>
      <c r="C31" s="12" t="s">
        <v>25</v>
      </c>
      <c r="D31" s="15" t="s">
        <v>41</v>
      </c>
      <c r="E31" s="13" t="s">
        <v>42</v>
      </c>
      <c r="F31" s="8" t="s">
        <v>42</v>
      </c>
    </row>
    <row r="32" ht="15.0" customHeight="1">
      <c r="A32" s="8">
        <v>29.0</v>
      </c>
      <c r="B32" s="9" t="s">
        <v>107</v>
      </c>
      <c r="C32" s="12" t="s">
        <v>25</v>
      </c>
      <c r="D32" s="15" t="s">
        <v>41</v>
      </c>
      <c r="E32" s="13" t="s">
        <v>42</v>
      </c>
      <c r="F32" s="8" t="s">
        <v>42</v>
      </c>
    </row>
    <row r="33" ht="15.0" customHeight="1">
      <c r="A33" s="8">
        <v>30.0</v>
      </c>
      <c r="B33" s="9" t="s">
        <v>110</v>
      </c>
      <c r="C33" s="12" t="s">
        <v>25</v>
      </c>
      <c r="D33" s="11" t="s">
        <v>32</v>
      </c>
      <c r="E33" s="9" t="s">
        <v>111</v>
      </c>
      <c r="F33" s="8" t="s">
        <v>35</v>
      </c>
    </row>
    <row r="34" ht="15.0" customHeight="1">
      <c r="A34" s="8">
        <v>31.0</v>
      </c>
      <c r="B34" s="9" t="s">
        <v>112</v>
      </c>
      <c r="C34" s="12" t="s">
        <v>25</v>
      </c>
      <c r="D34" s="11" t="s">
        <v>32</v>
      </c>
      <c r="E34" s="9" t="s">
        <v>112</v>
      </c>
      <c r="F34" s="8" t="s">
        <v>35</v>
      </c>
    </row>
    <row r="35" ht="15.0" customHeight="1">
      <c r="A35" s="8">
        <v>32.0</v>
      </c>
      <c r="B35" s="9" t="s">
        <v>113</v>
      </c>
      <c r="C35" s="12" t="s">
        <v>25</v>
      </c>
      <c r="D35" s="11" t="s">
        <v>32</v>
      </c>
      <c r="E35" s="9" t="s">
        <v>114</v>
      </c>
      <c r="F35" s="8" t="s">
        <v>35</v>
      </c>
    </row>
    <row r="36" ht="15.0" customHeight="1">
      <c r="A36" s="8">
        <v>33.0</v>
      </c>
      <c r="B36" s="9" t="s">
        <v>77</v>
      </c>
      <c r="C36" s="12" t="s">
        <v>25</v>
      </c>
      <c r="D36" s="15" t="s">
        <v>41</v>
      </c>
      <c r="E36" s="13" t="s">
        <v>42</v>
      </c>
      <c r="F36" s="8" t="s">
        <v>42</v>
      </c>
    </row>
    <row r="37" ht="15.0" customHeight="1">
      <c r="A37" s="8">
        <v>34.0</v>
      </c>
      <c r="B37" s="9" t="s">
        <v>116</v>
      </c>
      <c r="C37" s="12" t="s">
        <v>25</v>
      </c>
      <c r="D37" s="11" t="s">
        <v>32</v>
      </c>
      <c r="E37" s="9" t="s">
        <v>117</v>
      </c>
      <c r="F37" s="8" t="s">
        <v>35</v>
      </c>
    </row>
    <row r="38" ht="15.0" customHeight="1">
      <c r="A38" s="8">
        <v>35.0</v>
      </c>
      <c r="B38" s="9" t="s">
        <v>63</v>
      </c>
      <c r="C38" s="12" t="s">
        <v>25</v>
      </c>
      <c r="D38" s="11" t="s">
        <v>32</v>
      </c>
      <c r="E38" s="9" t="s">
        <v>119</v>
      </c>
      <c r="F38" s="8" t="s">
        <v>35</v>
      </c>
    </row>
    <row r="39" ht="15.0" customHeight="1">
      <c r="A39" s="8">
        <v>36.0</v>
      </c>
      <c r="B39" s="9" t="s">
        <v>120</v>
      </c>
      <c r="C39" s="12" t="s">
        <v>25</v>
      </c>
      <c r="D39" s="11" t="s">
        <v>32</v>
      </c>
      <c r="E39" s="9" t="s">
        <v>123</v>
      </c>
      <c r="F39" s="8" t="s">
        <v>78</v>
      </c>
    </row>
    <row r="40" ht="15.0" customHeight="1">
      <c r="A40" s="8">
        <v>37.0</v>
      </c>
      <c r="B40" s="9" t="s">
        <v>124</v>
      </c>
      <c r="C40" s="12" t="s">
        <v>25</v>
      </c>
      <c r="D40" s="11" t="s">
        <v>32</v>
      </c>
      <c r="E40" s="9" t="s">
        <v>124</v>
      </c>
      <c r="F40" s="8" t="s">
        <v>35</v>
      </c>
    </row>
    <row r="41" ht="15.0" customHeight="1">
      <c r="A41" s="8">
        <v>38.0</v>
      </c>
      <c r="B41" s="9" t="s">
        <v>126</v>
      </c>
      <c r="C41" s="12" t="s">
        <v>25</v>
      </c>
      <c r="D41" s="11" t="s">
        <v>32</v>
      </c>
      <c r="E41" s="9" t="s">
        <v>128</v>
      </c>
      <c r="F41" s="8" t="s">
        <v>78</v>
      </c>
    </row>
    <row r="42" ht="15.0" customHeight="1">
      <c r="A42" s="8">
        <v>39.0</v>
      </c>
      <c r="B42" s="9" t="s">
        <v>129</v>
      </c>
      <c r="C42" s="12" t="s">
        <v>25</v>
      </c>
      <c r="D42" s="15" t="s">
        <v>41</v>
      </c>
      <c r="E42" s="13" t="s">
        <v>42</v>
      </c>
      <c r="F42" s="8" t="s">
        <v>42</v>
      </c>
    </row>
    <row r="43" ht="15.0" customHeight="1">
      <c r="A43" s="8">
        <v>40.0</v>
      </c>
      <c r="B43" s="9" t="s">
        <v>131</v>
      </c>
      <c r="C43" s="12" t="s">
        <v>25</v>
      </c>
      <c r="D43" s="15" t="s">
        <v>41</v>
      </c>
      <c r="E43" s="13" t="s">
        <v>42</v>
      </c>
      <c r="F43" s="8" t="s">
        <v>42</v>
      </c>
    </row>
    <row r="44" ht="15.0" customHeight="1">
      <c r="A44" s="8">
        <v>41.0</v>
      </c>
      <c r="B44" s="9" t="s">
        <v>132</v>
      </c>
      <c r="C44" s="12" t="s">
        <v>25</v>
      </c>
      <c r="D44" s="15" t="s">
        <v>41</v>
      </c>
      <c r="E44" s="13" t="s">
        <v>42</v>
      </c>
      <c r="F44" s="8" t="s">
        <v>42</v>
      </c>
    </row>
    <row r="45" ht="15.0" customHeight="1">
      <c r="A45" s="8">
        <v>42.0</v>
      </c>
      <c r="B45" s="9" t="s">
        <v>133</v>
      </c>
      <c r="C45" s="12" t="s">
        <v>25</v>
      </c>
      <c r="D45" s="15" t="s">
        <v>41</v>
      </c>
      <c r="E45" s="13" t="s">
        <v>42</v>
      </c>
      <c r="F45" s="8" t="s">
        <v>42</v>
      </c>
    </row>
    <row r="46" ht="15.0" customHeight="1">
      <c r="A46" s="8">
        <v>43.0</v>
      </c>
      <c r="B46" s="9" t="s">
        <v>135</v>
      </c>
      <c r="C46" s="12" t="s">
        <v>25</v>
      </c>
      <c r="D46" s="11" t="s">
        <v>32</v>
      </c>
      <c r="E46" s="9" t="s">
        <v>136</v>
      </c>
      <c r="F46" s="8" t="s">
        <v>35</v>
      </c>
    </row>
    <row r="47" ht="15.0" customHeight="1">
      <c r="A47" s="8">
        <v>44.0</v>
      </c>
      <c r="B47" s="9" t="s">
        <v>137</v>
      </c>
      <c r="C47" s="12" t="s">
        <v>25</v>
      </c>
      <c r="D47" s="15" t="s">
        <v>41</v>
      </c>
      <c r="E47" s="13" t="s">
        <v>42</v>
      </c>
      <c r="F47" s="8" t="s">
        <v>42</v>
      </c>
    </row>
    <row r="48" ht="15.0" customHeight="1">
      <c r="A48" s="8">
        <v>45.0</v>
      </c>
      <c r="B48" s="9" t="s">
        <v>139</v>
      </c>
      <c r="C48" s="12" t="s">
        <v>25</v>
      </c>
      <c r="D48" s="15" t="s">
        <v>41</v>
      </c>
      <c r="E48" s="13" t="s">
        <v>42</v>
      </c>
      <c r="F48" s="8" t="s">
        <v>42</v>
      </c>
    </row>
    <row r="49" ht="15.0" customHeight="1">
      <c r="A49" s="8">
        <v>46.0</v>
      </c>
      <c r="B49" s="9" t="s">
        <v>141</v>
      </c>
      <c r="C49" s="12" t="s">
        <v>25</v>
      </c>
      <c r="D49" s="11" t="s">
        <v>32</v>
      </c>
      <c r="E49" s="9" t="s">
        <v>142</v>
      </c>
      <c r="F49" s="8" t="s">
        <v>35</v>
      </c>
    </row>
    <row r="50" ht="15.0" customHeight="1">
      <c r="A50" s="8">
        <v>47.0</v>
      </c>
      <c r="B50" s="9" t="s">
        <v>143</v>
      </c>
      <c r="C50" s="12" t="s">
        <v>25</v>
      </c>
      <c r="D50" s="11" t="s">
        <v>32</v>
      </c>
      <c r="E50" s="9" t="s">
        <v>145</v>
      </c>
      <c r="F50" s="8" t="s">
        <v>78</v>
      </c>
    </row>
    <row r="51" ht="15.0" customHeight="1">
      <c r="A51" s="8">
        <v>48.0</v>
      </c>
      <c r="B51" s="9" t="s">
        <v>147</v>
      </c>
      <c r="C51" s="12" t="s">
        <v>25</v>
      </c>
      <c r="D51" s="11" t="s">
        <v>32</v>
      </c>
      <c r="E51" s="9" t="s">
        <v>148</v>
      </c>
      <c r="F51" s="8" t="s">
        <v>78</v>
      </c>
    </row>
    <row r="52" ht="15.0" customHeight="1">
      <c r="A52" s="8">
        <v>49.0</v>
      </c>
      <c r="B52" s="9" t="s">
        <v>150</v>
      </c>
      <c r="C52" s="12" t="s">
        <v>25</v>
      </c>
      <c r="D52" s="15" t="s">
        <v>41</v>
      </c>
      <c r="E52" s="13" t="s">
        <v>42</v>
      </c>
      <c r="F52" s="8" t="s">
        <v>42</v>
      </c>
    </row>
    <row r="53" ht="15.0" customHeight="1">
      <c r="A53" s="8">
        <v>50.0</v>
      </c>
      <c r="B53" s="9" t="s">
        <v>152</v>
      </c>
      <c r="C53" s="12" t="s">
        <v>25</v>
      </c>
      <c r="D53" s="11" t="s">
        <v>32</v>
      </c>
      <c r="E53" s="9" t="s">
        <v>154</v>
      </c>
      <c r="F53" s="8" t="s">
        <v>35</v>
      </c>
    </row>
    <row r="54" ht="15.0" customHeight="1">
      <c r="A54" s="8">
        <v>51.0</v>
      </c>
      <c r="B54" s="9" t="s">
        <v>151</v>
      </c>
      <c r="C54" s="12" t="s">
        <v>25</v>
      </c>
      <c r="D54" s="11" t="s">
        <v>32</v>
      </c>
      <c r="E54" s="9" t="s">
        <v>157</v>
      </c>
      <c r="F54" s="8" t="s">
        <v>35</v>
      </c>
    </row>
    <row r="55" ht="15.0" customHeight="1">
      <c r="A55" s="8">
        <v>52.0</v>
      </c>
      <c r="B55" s="9" t="s">
        <v>158</v>
      </c>
      <c r="C55" s="12" t="s">
        <v>25</v>
      </c>
      <c r="D55" s="15" t="s">
        <v>41</v>
      </c>
      <c r="E55" s="13" t="s">
        <v>42</v>
      </c>
      <c r="F55" s="8" t="s">
        <v>42</v>
      </c>
    </row>
    <row r="56" ht="15.0" customHeight="1">
      <c r="A56" s="8">
        <v>53.0</v>
      </c>
      <c r="B56" s="9" t="s">
        <v>161</v>
      </c>
      <c r="C56" s="12" t="s">
        <v>25</v>
      </c>
      <c r="D56" s="11" t="s">
        <v>32</v>
      </c>
      <c r="E56" s="9" t="s">
        <v>163</v>
      </c>
      <c r="F56" s="8" t="s">
        <v>35</v>
      </c>
    </row>
    <row r="57" ht="15.0" customHeight="1">
      <c r="A57" s="8">
        <v>54.0</v>
      </c>
      <c r="B57" s="9" t="s">
        <v>164</v>
      </c>
      <c r="C57" s="12" t="s">
        <v>25</v>
      </c>
      <c r="D57" s="15" t="s">
        <v>41</v>
      </c>
      <c r="E57" s="13" t="s">
        <v>42</v>
      </c>
      <c r="F57" s="8" t="s">
        <v>42</v>
      </c>
    </row>
    <row r="58" ht="15.0" customHeight="1">
      <c r="A58" s="8">
        <v>55.0</v>
      </c>
      <c r="B58" s="9" t="s">
        <v>167</v>
      </c>
      <c r="C58" s="12" t="s">
        <v>25</v>
      </c>
      <c r="D58" s="15" t="s">
        <v>41</v>
      </c>
      <c r="E58" s="13" t="s">
        <v>42</v>
      </c>
      <c r="F58" s="8" t="s">
        <v>42</v>
      </c>
    </row>
    <row r="59" ht="15.0" customHeight="1">
      <c r="A59" s="8">
        <v>56.0</v>
      </c>
      <c r="B59" s="9" t="s">
        <v>168</v>
      </c>
      <c r="C59" s="12" t="s">
        <v>25</v>
      </c>
      <c r="D59" s="11" t="s">
        <v>32</v>
      </c>
      <c r="E59" s="9" t="s">
        <v>172</v>
      </c>
      <c r="F59" s="8" t="s">
        <v>35</v>
      </c>
    </row>
    <row r="60" ht="15.0" customHeight="1">
      <c r="A60" s="8">
        <v>57.0</v>
      </c>
      <c r="B60" s="9" t="s">
        <v>173</v>
      </c>
      <c r="C60" s="12" t="s">
        <v>25</v>
      </c>
      <c r="D60" s="11" t="s">
        <v>32</v>
      </c>
      <c r="E60" s="9" t="s">
        <v>174</v>
      </c>
      <c r="F60" s="8" t="s">
        <v>78</v>
      </c>
    </row>
    <row r="61" ht="15.0" customHeight="1">
      <c r="A61" s="8">
        <v>58.0</v>
      </c>
      <c r="B61" s="9" t="s">
        <v>175</v>
      </c>
      <c r="C61" s="12" t="s">
        <v>25</v>
      </c>
      <c r="D61" s="15" t="s">
        <v>41</v>
      </c>
      <c r="E61" s="13" t="s">
        <v>42</v>
      </c>
      <c r="F61" s="8" t="s">
        <v>42</v>
      </c>
    </row>
    <row r="62" ht="15.0" customHeight="1">
      <c r="A62" s="8">
        <v>59.0</v>
      </c>
      <c r="B62" s="9" t="s">
        <v>177</v>
      </c>
      <c r="C62" s="12" t="s">
        <v>25</v>
      </c>
      <c r="D62" s="15" t="s">
        <v>41</v>
      </c>
      <c r="E62" s="13" t="s">
        <v>42</v>
      </c>
      <c r="F62" s="8" t="s">
        <v>42</v>
      </c>
    </row>
    <row r="63" ht="15.0" customHeight="1">
      <c r="A63" s="8">
        <v>60.0</v>
      </c>
      <c r="B63" s="9" t="s">
        <v>179</v>
      </c>
      <c r="C63" s="12" t="s">
        <v>25</v>
      </c>
      <c r="D63" s="11" t="s">
        <v>32</v>
      </c>
      <c r="E63" s="9" t="s">
        <v>180</v>
      </c>
      <c r="F63" s="8" t="s">
        <v>35</v>
      </c>
    </row>
    <row r="64" ht="15.0" customHeight="1">
      <c r="A64" s="8">
        <v>61.0</v>
      </c>
      <c r="B64" s="9" t="s">
        <v>181</v>
      </c>
      <c r="C64" s="12" t="s">
        <v>25</v>
      </c>
      <c r="D64" s="11" t="s">
        <v>32</v>
      </c>
      <c r="E64" s="9" t="s">
        <v>183</v>
      </c>
      <c r="F64" s="8" t="s">
        <v>35</v>
      </c>
    </row>
    <row r="65" ht="15.0" customHeight="1">
      <c r="A65" s="8">
        <v>62.0</v>
      </c>
      <c r="B65" s="9" t="s">
        <v>185</v>
      </c>
      <c r="C65" s="12" t="s">
        <v>25</v>
      </c>
      <c r="D65" s="15" t="s">
        <v>41</v>
      </c>
      <c r="E65" s="13" t="s">
        <v>42</v>
      </c>
      <c r="F65" s="8" t="s">
        <v>42</v>
      </c>
    </row>
    <row r="66" ht="15.0" customHeight="1">
      <c r="A66" s="8">
        <v>63.0</v>
      </c>
      <c r="B66" s="9" t="s">
        <v>187</v>
      </c>
      <c r="C66" s="12" t="s">
        <v>25</v>
      </c>
      <c r="D66" s="15" t="s">
        <v>41</v>
      </c>
      <c r="E66" s="13" t="s">
        <v>42</v>
      </c>
      <c r="F66" s="8" t="s">
        <v>42</v>
      </c>
    </row>
    <row r="67" ht="15.0" customHeight="1">
      <c r="A67" s="8">
        <v>64.0</v>
      </c>
      <c r="B67" s="9" t="s">
        <v>190</v>
      </c>
      <c r="C67" s="12" t="s">
        <v>25</v>
      </c>
      <c r="D67" s="11" t="s">
        <v>32</v>
      </c>
      <c r="E67" s="9" t="s">
        <v>193</v>
      </c>
      <c r="F67" s="8" t="s">
        <v>35</v>
      </c>
    </row>
    <row r="68" ht="15.0" customHeight="1">
      <c r="A68" s="8">
        <v>65.0</v>
      </c>
      <c r="B68" s="9" t="s">
        <v>194</v>
      </c>
      <c r="C68" s="12" t="s">
        <v>25</v>
      </c>
      <c r="D68" s="15" t="s">
        <v>41</v>
      </c>
      <c r="E68" s="13" t="s">
        <v>42</v>
      </c>
      <c r="F68" s="8" t="s">
        <v>42</v>
      </c>
    </row>
    <row r="69" ht="15.0" customHeight="1">
      <c r="A69" s="8">
        <v>66.0</v>
      </c>
      <c r="B69" s="9" t="s">
        <v>195</v>
      </c>
      <c r="C69" s="12" t="s">
        <v>25</v>
      </c>
      <c r="D69" s="11" t="s">
        <v>32</v>
      </c>
      <c r="E69" s="9" t="s">
        <v>197</v>
      </c>
      <c r="F69" s="8" t="s">
        <v>78</v>
      </c>
    </row>
    <row r="70" ht="15.0" customHeight="1">
      <c r="A70" s="8">
        <v>67.0</v>
      </c>
      <c r="B70" s="9" t="s">
        <v>199</v>
      </c>
      <c r="C70" s="12" t="s">
        <v>25</v>
      </c>
      <c r="D70" s="11" t="s">
        <v>32</v>
      </c>
      <c r="E70" s="9" t="s">
        <v>199</v>
      </c>
      <c r="F70" s="8" t="s">
        <v>35</v>
      </c>
    </row>
    <row r="71" ht="15.0" customHeight="1">
      <c r="A71" s="8">
        <v>68.0</v>
      </c>
      <c r="B71" s="9" t="s">
        <v>203</v>
      </c>
      <c r="C71" s="12" t="s">
        <v>25</v>
      </c>
      <c r="D71" s="11" t="s">
        <v>32</v>
      </c>
      <c r="E71" s="9" t="s">
        <v>205</v>
      </c>
      <c r="F71" s="8" t="s">
        <v>35</v>
      </c>
    </row>
    <row r="72" ht="15.0" customHeight="1">
      <c r="A72" s="8">
        <v>69.0</v>
      </c>
      <c r="B72" s="9" t="s">
        <v>206</v>
      </c>
      <c r="C72" s="12" t="s">
        <v>25</v>
      </c>
      <c r="D72" s="15" t="s">
        <v>41</v>
      </c>
      <c r="E72" s="13" t="s">
        <v>42</v>
      </c>
      <c r="F72" s="8" t="s">
        <v>42</v>
      </c>
    </row>
    <row r="73" ht="15.0" customHeight="1">
      <c r="A73" s="8">
        <v>70.0</v>
      </c>
      <c r="B73" s="9" t="s">
        <v>208</v>
      </c>
      <c r="C73" s="12" t="s">
        <v>25</v>
      </c>
      <c r="D73" s="15" t="s">
        <v>41</v>
      </c>
      <c r="E73" s="13" t="s">
        <v>42</v>
      </c>
      <c r="F73" s="8" t="s">
        <v>42</v>
      </c>
    </row>
    <row r="74" ht="15.0" customHeight="1">
      <c r="A74" s="8">
        <v>71.0</v>
      </c>
      <c r="B74" s="9" t="s">
        <v>210</v>
      </c>
      <c r="C74" s="12" t="s">
        <v>25</v>
      </c>
      <c r="D74" s="11" t="s">
        <v>32</v>
      </c>
      <c r="E74" s="9" t="s">
        <v>211</v>
      </c>
      <c r="F74" s="8" t="s">
        <v>35</v>
      </c>
    </row>
    <row r="75" ht="15.0" customHeight="1">
      <c r="A75" s="8">
        <v>72.0</v>
      </c>
      <c r="B75" s="9" t="s">
        <v>213</v>
      </c>
      <c r="C75" s="12" t="s">
        <v>25</v>
      </c>
      <c r="D75" s="15" t="s">
        <v>41</v>
      </c>
      <c r="E75" s="13" t="s">
        <v>42</v>
      </c>
      <c r="F75" s="8" t="s">
        <v>42</v>
      </c>
    </row>
    <row r="76" ht="15.0" customHeight="1">
      <c r="A76" s="8">
        <v>73.0</v>
      </c>
      <c r="B76" s="9" t="s">
        <v>215</v>
      </c>
      <c r="C76" s="12" t="s">
        <v>25</v>
      </c>
      <c r="D76" s="15" t="s">
        <v>41</v>
      </c>
      <c r="E76" s="13" t="s">
        <v>42</v>
      </c>
      <c r="F76" s="8" t="s">
        <v>42</v>
      </c>
    </row>
    <row r="77" ht="15.0" customHeight="1">
      <c r="A77" s="8">
        <v>74.0</v>
      </c>
      <c r="B77" s="9" t="s">
        <v>217</v>
      </c>
      <c r="C77" s="12" t="s">
        <v>25</v>
      </c>
      <c r="D77" s="15" t="s">
        <v>41</v>
      </c>
      <c r="E77" s="13" t="s">
        <v>42</v>
      </c>
      <c r="F77" s="8" t="s">
        <v>42</v>
      </c>
    </row>
    <row r="78" ht="15.0" customHeight="1">
      <c r="A78" s="8">
        <v>75.0</v>
      </c>
      <c r="B78" s="9" t="s">
        <v>219</v>
      </c>
      <c r="C78" s="12" t="s">
        <v>25</v>
      </c>
      <c r="D78" s="15" t="s">
        <v>41</v>
      </c>
      <c r="E78" s="13" t="s">
        <v>42</v>
      </c>
      <c r="F78" s="8" t="s">
        <v>42</v>
      </c>
    </row>
    <row r="79" ht="15.0" customHeight="1">
      <c r="A79" s="30"/>
      <c r="B79" s="31" t="s">
        <v>220</v>
      </c>
      <c r="C79" s="4"/>
      <c r="D79" s="4"/>
      <c r="E79" s="4"/>
      <c r="F79" s="4"/>
    </row>
    <row r="80" ht="15.0" customHeight="1">
      <c r="A80" s="4"/>
      <c r="B80" s="4"/>
      <c r="C80" s="4"/>
      <c r="D80" s="4"/>
      <c r="E80" s="4"/>
      <c r="F80" s="4"/>
    </row>
    <row r="81" ht="606.0" customHeight="1">
      <c r="A81" s="32" t="s">
        <v>222</v>
      </c>
      <c r="B81" s="4"/>
      <c r="C81" s="4"/>
      <c r="D81" s="4"/>
      <c r="E81" s="4"/>
      <c r="F81" s="4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</hyperlinks>
  <printOptions/>
  <pageMargins bottom="1.0" footer="0.0" header="0.0" left="0.75" right="0.75" top="1.0"/>
  <pageSetup paperSize="9" orientation="portrait"/>
  <drawing r:id="rId7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4.0"/>
    <col customWidth="1" min="3" max="3" width="9.0"/>
    <col customWidth="1" min="4" max="4" width="10.0"/>
    <col customWidth="1" min="5" max="5" width="9.0"/>
    <col customWidth="1" min="6" max="6" width="11.0"/>
    <col customWidth="1" min="7" max="7" width="9.0"/>
    <col customWidth="1" min="8" max="9" width="12.0"/>
    <col customWidth="1" min="10" max="26" width="8.71"/>
  </cols>
  <sheetData>
    <row r="1" ht="15.75" customHeight="1">
      <c r="A1" s="1" t="s">
        <v>0</v>
      </c>
      <c r="B1" s="3"/>
      <c r="C1" s="3"/>
      <c r="D1" s="3"/>
      <c r="E1" s="3"/>
      <c r="F1" s="3"/>
      <c r="G1" s="3"/>
      <c r="H1" s="3"/>
      <c r="I1" s="3"/>
    </row>
    <row r="2">
      <c r="A2" s="3"/>
      <c r="B2" s="3"/>
      <c r="C2" s="3"/>
      <c r="D2" s="3"/>
      <c r="E2" s="3"/>
      <c r="F2" s="3"/>
      <c r="G2" s="3"/>
      <c r="H2" s="3"/>
      <c r="I2" s="3"/>
    </row>
    <row r="3" ht="15.0" customHeight="1">
      <c r="A3" s="2" t="s">
        <v>3</v>
      </c>
      <c r="B3" s="2" t="s">
        <v>18</v>
      </c>
      <c r="C3" s="2" t="s">
        <v>20</v>
      </c>
      <c r="D3" s="2" t="s">
        <v>21</v>
      </c>
      <c r="E3" s="2" t="s">
        <v>23</v>
      </c>
      <c r="F3" s="2" t="s">
        <v>24</v>
      </c>
      <c r="G3" s="2" t="s">
        <v>27</v>
      </c>
      <c r="H3" s="2" t="s">
        <v>29</v>
      </c>
      <c r="I3" s="2" t="s">
        <v>30</v>
      </c>
    </row>
    <row r="4" ht="15.0" customHeight="1">
      <c r="A4" s="8">
        <v>1.0</v>
      </c>
      <c r="B4" s="9" t="s">
        <v>26</v>
      </c>
      <c r="C4" s="8">
        <f>COUNTIFS(Questions!$C$2:$C$199,$B4,Questions!$D$2:$D$199,C$3)</f>
        <v>5</v>
      </c>
      <c r="D4" s="8">
        <f>COUNTIFS(Questions!$C$2:$C$199,$B4,Questions!$D$2:$D$199,D$3)</f>
        <v>8</v>
      </c>
      <c r="E4" s="8">
        <f>COUNTIFS(Questions!$C$2:$C$199,$B4,Questions!$D$2:$D$199,E$3)</f>
        <v>0</v>
      </c>
      <c r="F4" s="8">
        <f>COUNTIFS(Questions!$C$2:$C$199,$B4,Questions!$D$2:$D$199,F$3)</f>
        <v>0</v>
      </c>
      <c r="G4" s="8">
        <f>COUNTIF(Questions!$C$2:$C$199,$B4)</f>
        <v>13</v>
      </c>
      <c r="H4" s="8">
        <f>COUNTIFS(Questions!$C$2:$C$199,$B4,Questions!$G$2:$G$199,"Yes")</f>
        <v>5</v>
      </c>
      <c r="I4" s="9" t="str">
        <f t="shared" ref="I4:I31" si="1">IF($G4=0,"GAP",IF($G4&lt;=2,"Thin","Covered"))</f>
        <v>Covered</v>
      </c>
    </row>
    <row r="5" ht="15.0" customHeight="1">
      <c r="A5" s="8">
        <v>2.0</v>
      </c>
      <c r="B5" s="9" t="s">
        <v>46</v>
      </c>
      <c r="C5" s="8">
        <f>COUNTIFS(Questions!$C$2:$C$199,$B5,Questions!$D$2:$D$199,C$3)</f>
        <v>2</v>
      </c>
      <c r="D5" s="8">
        <f>COUNTIFS(Questions!$C$2:$C$199,$B5,Questions!$D$2:$D$199,D$3)</f>
        <v>0</v>
      </c>
      <c r="E5" s="8">
        <f>COUNTIFS(Questions!$C$2:$C$199,$B5,Questions!$D$2:$D$199,E$3)</f>
        <v>1</v>
      </c>
      <c r="F5" s="8">
        <f>COUNTIFS(Questions!$C$2:$C$199,$B5,Questions!$D$2:$D$199,F$3)</f>
        <v>1</v>
      </c>
      <c r="G5" s="8">
        <f>COUNTIF(Questions!$C$2:$C$199,$B5)</f>
        <v>4</v>
      </c>
      <c r="H5" s="8">
        <f>COUNTIFS(Questions!$C$2:$C$199,$B5,Questions!$G$2:$G$199,"Yes")</f>
        <v>1</v>
      </c>
      <c r="I5" s="9" t="str">
        <f t="shared" si="1"/>
        <v>Covered</v>
      </c>
    </row>
    <row r="6" ht="15.0" customHeight="1">
      <c r="A6" s="8">
        <v>3.0</v>
      </c>
      <c r="B6" s="9" t="s">
        <v>56</v>
      </c>
      <c r="C6" s="8">
        <f>COUNTIFS(Questions!$C$2:$C$199,$B6,Questions!$D$2:$D$199,C$3)</f>
        <v>0</v>
      </c>
      <c r="D6" s="8">
        <f>COUNTIFS(Questions!$C$2:$C$199,$B6,Questions!$D$2:$D$199,D$3)</f>
        <v>1</v>
      </c>
      <c r="E6" s="8">
        <f>COUNTIFS(Questions!$C$2:$C$199,$B6,Questions!$D$2:$D$199,E$3)</f>
        <v>2</v>
      </c>
      <c r="F6" s="8">
        <f>COUNTIFS(Questions!$C$2:$C$199,$B6,Questions!$D$2:$D$199,F$3)</f>
        <v>1</v>
      </c>
      <c r="G6" s="8">
        <f>COUNTIF(Questions!$C$2:$C$199,$B6)</f>
        <v>4</v>
      </c>
      <c r="H6" s="8">
        <f>COUNTIFS(Questions!$C$2:$C$199,$B6,Questions!$G$2:$G$199,"Yes")</f>
        <v>3</v>
      </c>
      <c r="I6" s="9" t="str">
        <f t="shared" si="1"/>
        <v>Covered</v>
      </c>
    </row>
    <row r="7" ht="15.0" customHeight="1">
      <c r="A7" s="8">
        <v>4.0</v>
      </c>
      <c r="B7" s="9" t="s">
        <v>65</v>
      </c>
      <c r="C7" s="8">
        <f>COUNTIFS(Questions!$C$2:$C$199,$B7,Questions!$D$2:$D$199,C$3)</f>
        <v>1</v>
      </c>
      <c r="D7" s="8">
        <f>COUNTIFS(Questions!$C$2:$C$199,$B7,Questions!$D$2:$D$199,D$3)</f>
        <v>3</v>
      </c>
      <c r="E7" s="8">
        <f>COUNTIFS(Questions!$C$2:$C$199,$B7,Questions!$D$2:$D$199,E$3)</f>
        <v>1</v>
      </c>
      <c r="F7" s="8">
        <f>COUNTIFS(Questions!$C$2:$C$199,$B7,Questions!$D$2:$D$199,F$3)</f>
        <v>1</v>
      </c>
      <c r="G7" s="8">
        <f>COUNTIF(Questions!$C$2:$C$199,$B7)</f>
        <v>6</v>
      </c>
      <c r="H7" s="8">
        <f>COUNTIFS(Questions!$C$2:$C$199,$B7,Questions!$G$2:$G$199,"Yes")</f>
        <v>5</v>
      </c>
      <c r="I7" s="9" t="str">
        <f t="shared" si="1"/>
        <v>Covered</v>
      </c>
    </row>
    <row r="8" ht="15.0" customHeight="1">
      <c r="A8" s="8">
        <v>5.0</v>
      </c>
      <c r="B8" s="9" t="s">
        <v>82</v>
      </c>
      <c r="C8" s="8">
        <f>COUNTIFS(Questions!$C$2:$C$199,$B8,Questions!$D$2:$D$199,C$3)</f>
        <v>1</v>
      </c>
      <c r="D8" s="8">
        <f>COUNTIFS(Questions!$C$2:$C$199,$B8,Questions!$D$2:$D$199,D$3)</f>
        <v>1</v>
      </c>
      <c r="E8" s="8">
        <f>COUNTIFS(Questions!$C$2:$C$199,$B8,Questions!$D$2:$D$199,E$3)</f>
        <v>3</v>
      </c>
      <c r="F8" s="8">
        <f>COUNTIFS(Questions!$C$2:$C$199,$B8,Questions!$D$2:$D$199,F$3)</f>
        <v>3</v>
      </c>
      <c r="G8" s="8">
        <f>COUNTIF(Questions!$C$2:$C$199,$B8)</f>
        <v>8</v>
      </c>
      <c r="H8" s="8">
        <f>COUNTIFS(Questions!$C$2:$C$199,$B8,Questions!$G$2:$G$199,"Yes")</f>
        <v>3</v>
      </c>
      <c r="I8" s="9" t="str">
        <f t="shared" si="1"/>
        <v>Covered</v>
      </c>
    </row>
    <row r="9" ht="15.0" customHeight="1">
      <c r="A9" s="8">
        <v>6.0</v>
      </c>
      <c r="B9" s="9" t="s">
        <v>92</v>
      </c>
      <c r="C9" s="8">
        <f>COUNTIFS(Questions!$C$2:$C$199,$B9,Questions!$D$2:$D$199,C$3)</f>
        <v>0</v>
      </c>
      <c r="D9" s="8">
        <f>COUNTIFS(Questions!$C$2:$C$199,$B9,Questions!$D$2:$D$199,D$3)</f>
        <v>0</v>
      </c>
      <c r="E9" s="8">
        <f>COUNTIFS(Questions!$C$2:$C$199,$B9,Questions!$D$2:$D$199,E$3)</f>
        <v>1</v>
      </c>
      <c r="F9" s="8">
        <f>COUNTIFS(Questions!$C$2:$C$199,$B9,Questions!$D$2:$D$199,F$3)</f>
        <v>0</v>
      </c>
      <c r="G9" s="8">
        <f>COUNTIF(Questions!$C$2:$C$199,$B9)</f>
        <v>1</v>
      </c>
      <c r="H9" s="8">
        <f>COUNTIFS(Questions!$C$2:$C$199,$B9,Questions!$G$2:$G$199,"Yes")</f>
        <v>1</v>
      </c>
      <c r="I9" s="9" t="str">
        <f t="shared" si="1"/>
        <v>Thin</v>
      </c>
    </row>
    <row r="10" ht="15.0" customHeight="1">
      <c r="A10" s="8">
        <v>7.0</v>
      </c>
      <c r="B10" s="9" t="s">
        <v>100</v>
      </c>
      <c r="C10" s="8">
        <f>COUNTIFS(Questions!$C$2:$C$199,$B10,Questions!$D$2:$D$199,C$3)</f>
        <v>0</v>
      </c>
      <c r="D10" s="8">
        <f>COUNTIFS(Questions!$C$2:$C$199,$B10,Questions!$D$2:$D$199,D$3)</f>
        <v>0</v>
      </c>
      <c r="E10" s="8">
        <f>COUNTIFS(Questions!$C$2:$C$199,$B10,Questions!$D$2:$D$199,E$3)</f>
        <v>0</v>
      </c>
      <c r="F10" s="8">
        <f>COUNTIFS(Questions!$C$2:$C$199,$B10,Questions!$D$2:$D$199,F$3)</f>
        <v>1</v>
      </c>
      <c r="G10" s="8">
        <f>COUNTIF(Questions!$C$2:$C$199,$B10)</f>
        <v>1</v>
      </c>
      <c r="H10" s="8">
        <f>COUNTIFS(Questions!$C$2:$C$199,$B10,Questions!$G$2:$G$199,"Yes")</f>
        <v>1</v>
      </c>
      <c r="I10" s="9" t="str">
        <f t="shared" si="1"/>
        <v>Thin</v>
      </c>
    </row>
    <row r="11" ht="15.0" customHeight="1">
      <c r="A11" s="8">
        <v>8.0</v>
      </c>
      <c r="B11" s="9" t="s">
        <v>109</v>
      </c>
      <c r="C11" s="8">
        <f>COUNTIFS(Questions!$C$2:$C$199,$B11,Questions!$D$2:$D$199,C$3)</f>
        <v>0</v>
      </c>
      <c r="D11" s="8">
        <f>COUNTIFS(Questions!$C$2:$C$199,$B11,Questions!$D$2:$D$199,D$3)</f>
        <v>2</v>
      </c>
      <c r="E11" s="8">
        <f>COUNTIFS(Questions!$C$2:$C$199,$B11,Questions!$D$2:$D$199,E$3)</f>
        <v>0</v>
      </c>
      <c r="F11" s="8">
        <f>COUNTIFS(Questions!$C$2:$C$199,$B11,Questions!$D$2:$D$199,F$3)</f>
        <v>0</v>
      </c>
      <c r="G11" s="8">
        <f>COUNTIF(Questions!$C$2:$C$199,$B11)</f>
        <v>2</v>
      </c>
      <c r="H11" s="8">
        <f>COUNTIFS(Questions!$C$2:$C$199,$B11,Questions!$G$2:$G$199,"Yes")</f>
        <v>1</v>
      </c>
      <c r="I11" s="9" t="str">
        <f t="shared" si="1"/>
        <v>Thin</v>
      </c>
    </row>
    <row r="12" ht="15.0" customHeight="1">
      <c r="A12" s="8">
        <v>9.0</v>
      </c>
      <c r="B12" s="9" t="s">
        <v>115</v>
      </c>
      <c r="C12" s="8">
        <f>COUNTIFS(Questions!$C$2:$C$199,$B12,Questions!$D$2:$D$199,C$3)</f>
        <v>2</v>
      </c>
      <c r="D12" s="8">
        <f>COUNTIFS(Questions!$C$2:$C$199,$B12,Questions!$D$2:$D$199,D$3)</f>
        <v>1</v>
      </c>
      <c r="E12" s="8">
        <f>COUNTIFS(Questions!$C$2:$C$199,$B12,Questions!$D$2:$D$199,E$3)</f>
        <v>3</v>
      </c>
      <c r="F12" s="8">
        <f>COUNTIFS(Questions!$C$2:$C$199,$B12,Questions!$D$2:$D$199,F$3)</f>
        <v>2</v>
      </c>
      <c r="G12" s="8">
        <f>COUNTIF(Questions!$C$2:$C$199,$B12)</f>
        <v>8</v>
      </c>
      <c r="H12" s="8">
        <f>COUNTIFS(Questions!$C$2:$C$199,$B12,Questions!$G$2:$G$199,"Yes")</f>
        <v>2</v>
      </c>
      <c r="I12" s="9" t="str">
        <f t="shared" si="1"/>
        <v>Covered</v>
      </c>
    </row>
    <row r="13" ht="15.0" customHeight="1">
      <c r="A13" s="8">
        <v>10.0</v>
      </c>
      <c r="B13" s="9" t="s">
        <v>121</v>
      </c>
      <c r="C13" s="8">
        <f>COUNTIFS(Questions!$C$2:$C$199,$B13,Questions!$D$2:$D$199,C$3)</f>
        <v>0</v>
      </c>
      <c r="D13" s="8">
        <f>COUNTIFS(Questions!$C$2:$C$199,$B13,Questions!$D$2:$D$199,D$3)</f>
        <v>2</v>
      </c>
      <c r="E13" s="8">
        <f>COUNTIFS(Questions!$C$2:$C$199,$B13,Questions!$D$2:$D$199,E$3)</f>
        <v>0</v>
      </c>
      <c r="F13" s="8">
        <f>COUNTIFS(Questions!$C$2:$C$199,$B13,Questions!$D$2:$D$199,F$3)</f>
        <v>0</v>
      </c>
      <c r="G13" s="8">
        <f>COUNTIF(Questions!$C$2:$C$199,$B13)</f>
        <v>2</v>
      </c>
      <c r="H13" s="8">
        <f>COUNTIFS(Questions!$C$2:$C$199,$B13,Questions!$G$2:$G$199,"Yes")</f>
        <v>0</v>
      </c>
      <c r="I13" s="9" t="str">
        <f t="shared" si="1"/>
        <v>Thin</v>
      </c>
    </row>
    <row r="14" ht="15.0" customHeight="1">
      <c r="A14" s="8">
        <v>11.0</v>
      </c>
      <c r="B14" s="9" t="s">
        <v>134</v>
      </c>
      <c r="C14" s="8">
        <f>COUNTIFS(Questions!$C$2:$C$199,$B14,Questions!$D$2:$D$199,C$3)</f>
        <v>0</v>
      </c>
      <c r="D14" s="8">
        <f>COUNTIFS(Questions!$C$2:$C$199,$B14,Questions!$D$2:$D$199,D$3)</f>
        <v>3</v>
      </c>
      <c r="E14" s="8">
        <f>COUNTIFS(Questions!$C$2:$C$199,$B14,Questions!$D$2:$D$199,E$3)</f>
        <v>1</v>
      </c>
      <c r="F14" s="8">
        <f>COUNTIFS(Questions!$C$2:$C$199,$B14,Questions!$D$2:$D$199,F$3)</f>
        <v>0</v>
      </c>
      <c r="G14" s="8">
        <f>COUNTIF(Questions!$C$2:$C$199,$B14)</f>
        <v>4</v>
      </c>
      <c r="H14" s="8">
        <f>COUNTIFS(Questions!$C$2:$C$199,$B14,Questions!$G$2:$G$199,"Yes")</f>
        <v>1</v>
      </c>
      <c r="I14" s="9" t="str">
        <f t="shared" si="1"/>
        <v>Covered</v>
      </c>
    </row>
    <row r="15" ht="15.0" customHeight="1">
      <c r="A15" s="8">
        <v>12.0</v>
      </c>
      <c r="B15" s="9" t="s">
        <v>144</v>
      </c>
      <c r="C15" s="8">
        <f>COUNTIFS(Questions!$C$2:$C$199,$B15,Questions!$D$2:$D$199,C$3)</f>
        <v>0</v>
      </c>
      <c r="D15" s="8">
        <f>COUNTIFS(Questions!$C$2:$C$199,$B15,Questions!$D$2:$D$199,D$3)</f>
        <v>4</v>
      </c>
      <c r="E15" s="8">
        <f>COUNTIFS(Questions!$C$2:$C$199,$B15,Questions!$D$2:$D$199,E$3)</f>
        <v>3</v>
      </c>
      <c r="F15" s="8">
        <f>COUNTIFS(Questions!$C$2:$C$199,$B15,Questions!$D$2:$D$199,F$3)</f>
        <v>1</v>
      </c>
      <c r="G15" s="8">
        <f>COUNTIF(Questions!$C$2:$C$199,$B15)</f>
        <v>8</v>
      </c>
      <c r="H15" s="8">
        <f>COUNTIFS(Questions!$C$2:$C$199,$B15,Questions!$G$2:$G$199,"Yes")</f>
        <v>3</v>
      </c>
      <c r="I15" s="9" t="str">
        <f t="shared" si="1"/>
        <v>Covered</v>
      </c>
    </row>
    <row r="16" ht="15.0" customHeight="1">
      <c r="A16" s="8">
        <v>13.0</v>
      </c>
      <c r="B16" s="9" t="s">
        <v>155</v>
      </c>
      <c r="C16" s="8">
        <f>COUNTIFS(Questions!$C$2:$C$199,$B16,Questions!$D$2:$D$199,C$3)</f>
        <v>1</v>
      </c>
      <c r="D16" s="8">
        <f>COUNTIFS(Questions!$C$2:$C$199,$B16,Questions!$D$2:$D$199,D$3)</f>
        <v>14</v>
      </c>
      <c r="E16" s="8">
        <f>COUNTIFS(Questions!$C$2:$C$199,$B16,Questions!$D$2:$D$199,E$3)</f>
        <v>9</v>
      </c>
      <c r="F16" s="8">
        <f>COUNTIFS(Questions!$C$2:$C$199,$B16,Questions!$D$2:$D$199,F$3)</f>
        <v>6</v>
      </c>
      <c r="G16" s="8">
        <f>COUNTIF(Questions!$C$2:$C$199,$B16)</f>
        <v>30</v>
      </c>
      <c r="H16" s="8">
        <f>COUNTIFS(Questions!$C$2:$C$199,$B16,Questions!$G$2:$G$199,"Yes")</f>
        <v>13</v>
      </c>
      <c r="I16" s="9" t="str">
        <f t="shared" si="1"/>
        <v>Covered</v>
      </c>
    </row>
    <row r="17" ht="15.0" customHeight="1">
      <c r="A17" s="8">
        <v>14.0</v>
      </c>
      <c r="B17" s="9" t="s">
        <v>162</v>
      </c>
      <c r="C17" s="8">
        <f>COUNTIFS(Questions!$C$2:$C$199,$B17,Questions!$D$2:$D$199,C$3)</f>
        <v>0</v>
      </c>
      <c r="D17" s="8">
        <f>COUNTIFS(Questions!$C$2:$C$199,$B17,Questions!$D$2:$D$199,D$3)</f>
        <v>2</v>
      </c>
      <c r="E17" s="8">
        <f>COUNTIFS(Questions!$C$2:$C$199,$B17,Questions!$D$2:$D$199,E$3)</f>
        <v>0</v>
      </c>
      <c r="F17" s="8">
        <f>COUNTIFS(Questions!$C$2:$C$199,$B17,Questions!$D$2:$D$199,F$3)</f>
        <v>0</v>
      </c>
      <c r="G17" s="8">
        <f>COUNTIF(Questions!$C$2:$C$199,$B17)</f>
        <v>2</v>
      </c>
      <c r="H17" s="8">
        <f>COUNTIFS(Questions!$C$2:$C$199,$B17,Questions!$G$2:$G$199,"Yes")</f>
        <v>1</v>
      </c>
      <c r="I17" s="9" t="str">
        <f t="shared" si="1"/>
        <v>Thin</v>
      </c>
    </row>
    <row r="18" ht="15.0" customHeight="1">
      <c r="A18" s="8">
        <v>15.0</v>
      </c>
      <c r="B18" s="9" t="s">
        <v>171</v>
      </c>
      <c r="C18" s="8">
        <f>COUNTIFS(Questions!$C$2:$C$199,$B18,Questions!$D$2:$D$199,C$3)</f>
        <v>0</v>
      </c>
      <c r="D18" s="8">
        <f>COUNTIFS(Questions!$C$2:$C$199,$B18,Questions!$D$2:$D$199,D$3)</f>
        <v>0</v>
      </c>
      <c r="E18" s="8">
        <f>COUNTIFS(Questions!$C$2:$C$199,$B18,Questions!$D$2:$D$199,E$3)</f>
        <v>2</v>
      </c>
      <c r="F18" s="8">
        <f>COUNTIFS(Questions!$C$2:$C$199,$B18,Questions!$D$2:$D$199,F$3)</f>
        <v>0</v>
      </c>
      <c r="G18" s="8">
        <f>COUNTIF(Questions!$C$2:$C$199,$B18)</f>
        <v>2</v>
      </c>
      <c r="H18" s="8">
        <f>COUNTIFS(Questions!$C$2:$C$199,$B18,Questions!$G$2:$G$199,"Yes")</f>
        <v>1</v>
      </c>
      <c r="I18" s="9" t="str">
        <f t="shared" si="1"/>
        <v>Thin</v>
      </c>
    </row>
    <row r="19" ht="15.0" customHeight="1">
      <c r="A19" s="8">
        <v>16.0</v>
      </c>
      <c r="B19" s="9" t="s">
        <v>88</v>
      </c>
      <c r="C19" s="8">
        <f>COUNTIFS(Questions!$C$2:$C$199,$B19,Questions!$D$2:$D$199,C$3)</f>
        <v>0</v>
      </c>
      <c r="D19" s="8">
        <f>COUNTIFS(Questions!$C$2:$C$199,$B19,Questions!$D$2:$D$199,D$3)</f>
        <v>1</v>
      </c>
      <c r="E19" s="8">
        <f>COUNTIFS(Questions!$C$2:$C$199,$B19,Questions!$D$2:$D$199,E$3)</f>
        <v>1</v>
      </c>
      <c r="F19" s="8">
        <f>COUNTIFS(Questions!$C$2:$C$199,$B19,Questions!$D$2:$D$199,F$3)</f>
        <v>0</v>
      </c>
      <c r="G19" s="8">
        <f>COUNTIF(Questions!$C$2:$C$199,$B19)</f>
        <v>2</v>
      </c>
      <c r="H19" s="8">
        <f>COUNTIFS(Questions!$C$2:$C$199,$B19,Questions!$G$2:$G$199,"Yes")</f>
        <v>0</v>
      </c>
      <c r="I19" s="9" t="str">
        <f t="shared" si="1"/>
        <v>Thin</v>
      </c>
    </row>
    <row r="20" ht="15.0" customHeight="1">
      <c r="A20" s="8">
        <v>17.0</v>
      </c>
      <c r="B20" s="9" t="s">
        <v>184</v>
      </c>
      <c r="C20" s="8">
        <f>COUNTIFS(Questions!$C$2:$C$199,$B20,Questions!$D$2:$D$199,C$3)</f>
        <v>1</v>
      </c>
      <c r="D20" s="8">
        <f>COUNTIFS(Questions!$C$2:$C$199,$B20,Questions!$D$2:$D$199,D$3)</f>
        <v>4</v>
      </c>
      <c r="E20" s="8">
        <f>COUNTIFS(Questions!$C$2:$C$199,$B20,Questions!$D$2:$D$199,E$3)</f>
        <v>1</v>
      </c>
      <c r="F20" s="8">
        <f>COUNTIFS(Questions!$C$2:$C$199,$B20,Questions!$D$2:$D$199,F$3)</f>
        <v>0</v>
      </c>
      <c r="G20" s="8">
        <f>COUNTIF(Questions!$C$2:$C$199,$B20)</f>
        <v>6</v>
      </c>
      <c r="H20" s="8">
        <f>COUNTIFS(Questions!$C$2:$C$199,$B20,Questions!$G$2:$G$199,"Yes")</f>
        <v>3</v>
      </c>
      <c r="I20" s="9" t="str">
        <f t="shared" si="1"/>
        <v>Covered</v>
      </c>
    </row>
    <row r="21" ht="15.0" customHeight="1">
      <c r="A21" s="8">
        <v>18.0</v>
      </c>
      <c r="B21" s="9" t="s">
        <v>192</v>
      </c>
      <c r="C21" s="8">
        <f>COUNTIFS(Questions!$C$2:$C$199,$B21,Questions!$D$2:$D$199,C$3)</f>
        <v>1</v>
      </c>
      <c r="D21" s="8">
        <f>COUNTIFS(Questions!$C$2:$C$199,$B21,Questions!$D$2:$D$199,D$3)</f>
        <v>6</v>
      </c>
      <c r="E21" s="8">
        <f>COUNTIFS(Questions!$C$2:$C$199,$B21,Questions!$D$2:$D$199,E$3)</f>
        <v>2</v>
      </c>
      <c r="F21" s="8">
        <f>COUNTIFS(Questions!$C$2:$C$199,$B21,Questions!$D$2:$D$199,F$3)</f>
        <v>3</v>
      </c>
      <c r="G21" s="8">
        <f>COUNTIF(Questions!$C$2:$C$199,$B21)</f>
        <v>12</v>
      </c>
      <c r="H21" s="8">
        <f>COUNTIFS(Questions!$C$2:$C$199,$B21,Questions!$G$2:$G$199,"Yes")</f>
        <v>1</v>
      </c>
      <c r="I21" s="9" t="str">
        <f t="shared" si="1"/>
        <v>Covered</v>
      </c>
    </row>
    <row r="22" ht="15.0" customHeight="1">
      <c r="A22" s="8">
        <v>19.0</v>
      </c>
      <c r="B22" s="9" t="s">
        <v>201</v>
      </c>
      <c r="C22" s="8">
        <f>COUNTIFS(Questions!$C$2:$C$199,$B22,Questions!$D$2:$D$199,C$3)</f>
        <v>1</v>
      </c>
      <c r="D22" s="8">
        <f>COUNTIFS(Questions!$C$2:$C$199,$B22,Questions!$D$2:$D$199,D$3)</f>
        <v>10</v>
      </c>
      <c r="E22" s="8">
        <f>COUNTIFS(Questions!$C$2:$C$199,$B22,Questions!$D$2:$D$199,E$3)</f>
        <v>3</v>
      </c>
      <c r="F22" s="8">
        <f>COUNTIFS(Questions!$C$2:$C$199,$B22,Questions!$D$2:$D$199,F$3)</f>
        <v>2</v>
      </c>
      <c r="G22" s="8">
        <f>COUNTIF(Questions!$C$2:$C$199,$B22)</f>
        <v>16</v>
      </c>
      <c r="H22" s="8">
        <f>COUNTIFS(Questions!$C$2:$C$199,$B22,Questions!$G$2:$G$199,"Yes")</f>
        <v>4</v>
      </c>
      <c r="I22" s="9" t="str">
        <f t="shared" si="1"/>
        <v>Covered</v>
      </c>
    </row>
    <row r="23" ht="15.0" customHeight="1">
      <c r="A23" s="8">
        <v>20.0</v>
      </c>
      <c r="B23" s="9" t="s">
        <v>207</v>
      </c>
      <c r="C23" s="8">
        <f>COUNTIFS(Questions!$C$2:$C$199,$B23,Questions!$D$2:$D$199,C$3)</f>
        <v>7</v>
      </c>
      <c r="D23" s="8">
        <f>COUNTIFS(Questions!$C$2:$C$199,$B23,Questions!$D$2:$D$199,D$3)</f>
        <v>12</v>
      </c>
      <c r="E23" s="8">
        <f>COUNTIFS(Questions!$C$2:$C$199,$B23,Questions!$D$2:$D$199,E$3)</f>
        <v>4</v>
      </c>
      <c r="F23" s="8">
        <f>COUNTIFS(Questions!$C$2:$C$199,$B23,Questions!$D$2:$D$199,F$3)</f>
        <v>2</v>
      </c>
      <c r="G23" s="8">
        <f>COUNTIF(Questions!$C$2:$C$199,$B23)</f>
        <v>25</v>
      </c>
      <c r="H23" s="8">
        <f>COUNTIFS(Questions!$C$2:$C$199,$B23,Questions!$G$2:$G$199,"Yes")</f>
        <v>9</v>
      </c>
      <c r="I23" s="9" t="str">
        <f t="shared" si="1"/>
        <v>Covered</v>
      </c>
    </row>
    <row r="24" ht="15.0" customHeight="1">
      <c r="A24" s="8">
        <v>21.0</v>
      </c>
      <c r="B24" s="9" t="s">
        <v>214</v>
      </c>
      <c r="C24" s="8">
        <f>COUNTIFS(Questions!$C$2:$C$199,$B24,Questions!$D$2:$D$199,C$3)</f>
        <v>0</v>
      </c>
      <c r="D24" s="8">
        <f>COUNTIFS(Questions!$C$2:$C$199,$B24,Questions!$D$2:$D$199,D$3)</f>
        <v>2</v>
      </c>
      <c r="E24" s="8">
        <f>COUNTIFS(Questions!$C$2:$C$199,$B24,Questions!$D$2:$D$199,E$3)</f>
        <v>1</v>
      </c>
      <c r="F24" s="8">
        <f>COUNTIFS(Questions!$C$2:$C$199,$B24,Questions!$D$2:$D$199,F$3)</f>
        <v>0</v>
      </c>
      <c r="G24" s="8">
        <f>COUNTIF(Questions!$C$2:$C$199,$B24)</f>
        <v>3</v>
      </c>
      <c r="H24" s="8">
        <f>COUNTIFS(Questions!$C$2:$C$199,$B24,Questions!$G$2:$G$199,"Yes")</f>
        <v>2</v>
      </c>
      <c r="I24" s="9" t="str">
        <f t="shared" si="1"/>
        <v>Covered</v>
      </c>
    </row>
    <row r="25" ht="15.0" customHeight="1">
      <c r="A25" s="8">
        <v>22.0</v>
      </c>
      <c r="B25" s="9" t="s">
        <v>221</v>
      </c>
      <c r="C25" s="8">
        <f>COUNTIFS(Questions!$C$2:$C$199,$B25,Questions!$D$2:$D$199,C$3)</f>
        <v>0</v>
      </c>
      <c r="D25" s="8">
        <f>COUNTIFS(Questions!$C$2:$C$199,$B25,Questions!$D$2:$D$199,D$3)</f>
        <v>2</v>
      </c>
      <c r="E25" s="8">
        <f>COUNTIFS(Questions!$C$2:$C$199,$B25,Questions!$D$2:$D$199,E$3)</f>
        <v>2</v>
      </c>
      <c r="F25" s="8">
        <f>COUNTIFS(Questions!$C$2:$C$199,$B25,Questions!$D$2:$D$199,F$3)</f>
        <v>0</v>
      </c>
      <c r="G25" s="8">
        <f>COUNTIF(Questions!$C$2:$C$199,$B25)</f>
        <v>4</v>
      </c>
      <c r="H25" s="8">
        <f>COUNTIFS(Questions!$C$2:$C$199,$B25,Questions!$G$2:$G$199,"Yes")</f>
        <v>2</v>
      </c>
      <c r="I25" s="9" t="str">
        <f t="shared" si="1"/>
        <v>Covered</v>
      </c>
    </row>
    <row r="26" ht="15.0" customHeight="1">
      <c r="A26" s="8">
        <v>23.0</v>
      </c>
      <c r="B26" s="9" t="s">
        <v>51</v>
      </c>
      <c r="C26" s="8">
        <f>COUNTIFS(Questions!$C$2:$C$199,$B26,Questions!$D$2:$D$199,C$3)</f>
        <v>5</v>
      </c>
      <c r="D26" s="8">
        <f>COUNTIFS(Questions!$C$2:$C$199,$B26,Questions!$D$2:$D$199,D$3)</f>
        <v>3</v>
      </c>
      <c r="E26" s="8">
        <f>COUNTIFS(Questions!$C$2:$C$199,$B26,Questions!$D$2:$D$199,E$3)</f>
        <v>2</v>
      </c>
      <c r="F26" s="8">
        <f>COUNTIFS(Questions!$C$2:$C$199,$B26,Questions!$D$2:$D$199,F$3)</f>
        <v>0</v>
      </c>
      <c r="G26" s="8">
        <f>COUNTIF(Questions!$C$2:$C$199,$B26)</f>
        <v>10</v>
      </c>
      <c r="H26" s="8">
        <f>COUNTIFS(Questions!$C$2:$C$199,$B26,Questions!$G$2:$G$199,"Yes")</f>
        <v>4</v>
      </c>
      <c r="I26" s="9" t="str">
        <f t="shared" si="1"/>
        <v>Covered</v>
      </c>
    </row>
    <row r="27" ht="15.0" customHeight="1">
      <c r="A27" s="8">
        <v>24.0</v>
      </c>
      <c r="B27" s="9" t="s">
        <v>227</v>
      </c>
      <c r="C27" s="8">
        <f>COUNTIFS(Questions!$C$2:$C$199,$B27,Questions!$D$2:$D$199,C$3)</f>
        <v>1</v>
      </c>
      <c r="D27" s="8">
        <f>COUNTIFS(Questions!$C$2:$C$199,$B27,Questions!$D$2:$D$199,D$3)</f>
        <v>6</v>
      </c>
      <c r="E27" s="8">
        <f>COUNTIFS(Questions!$C$2:$C$199,$B27,Questions!$D$2:$D$199,E$3)</f>
        <v>2</v>
      </c>
      <c r="F27" s="8">
        <f>COUNTIFS(Questions!$C$2:$C$199,$B27,Questions!$D$2:$D$199,F$3)</f>
        <v>1</v>
      </c>
      <c r="G27" s="8">
        <f>COUNTIF(Questions!$C$2:$C$199,$B27)</f>
        <v>10</v>
      </c>
      <c r="H27" s="8">
        <f>COUNTIFS(Questions!$C$2:$C$199,$B27,Questions!$G$2:$G$199,"Yes")</f>
        <v>3</v>
      </c>
      <c r="I27" s="9" t="str">
        <f t="shared" si="1"/>
        <v>Covered</v>
      </c>
    </row>
    <row r="28" ht="15.0" customHeight="1">
      <c r="A28" s="8">
        <v>25.0</v>
      </c>
      <c r="B28" s="9" t="s">
        <v>174</v>
      </c>
      <c r="C28" s="8">
        <f>COUNTIFS(Questions!$C$2:$C$199,$B28,Questions!$D$2:$D$199,C$3)</f>
        <v>0</v>
      </c>
      <c r="D28" s="8">
        <f>COUNTIFS(Questions!$C$2:$C$199,$B28,Questions!$D$2:$D$199,D$3)</f>
        <v>2</v>
      </c>
      <c r="E28" s="8">
        <f>COUNTIFS(Questions!$C$2:$C$199,$B28,Questions!$D$2:$D$199,E$3)</f>
        <v>0</v>
      </c>
      <c r="F28" s="8">
        <f>COUNTIFS(Questions!$C$2:$C$199,$B28,Questions!$D$2:$D$199,F$3)</f>
        <v>0</v>
      </c>
      <c r="G28" s="8">
        <f>COUNTIF(Questions!$C$2:$C$199,$B28)</f>
        <v>2</v>
      </c>
      <c r="H28" s="8">
        <f>COUNTIFS(Questions!$C$2:$C$199,$B28,Questions!$G$2:$G$199,"Yes")</f>
        <v>2</v>
      </c>
      <c r="I28" s="9" t="str">
        <f t="shared" si="1"/>
        <v>Thin</v>
      </c>
    </row>
    <row r="29" ht="15.0" customHeight="1">
      <c r="A29" s="8">
        <v>26.0</v>
      </c>
      <c r="B29" s="9" t="s">
        <v>231</v>
      </c>
      <c r="C29" s="8">
        <f>COUNTIFS(Questions!$C$2:$C$199,$B29,Questions!$D$2:$D$199,C$3)</f>
        <v>0</v>
      </c>
      <c r="D29" s="8">
        <f>COUNTIFS(Questions!$C$2:$C$199,$B29,Questions!$D$2:$D$199,D$3)</f>
        <v>4</v>
      </c>
      <c r="E29" s="8">
        <f>COUNTIFS(Questions!$C$2:$C$199,$B29,Questions!$D$2:$D$199,E$3)</f>
        <v>0</v>
      </c>
      <c r="F29" s="8">
        <f>COUNTIFS(Questions!$C$2:$C$199,$B29,Questions!$D$2:$D$199,F$3)</f>
        <v>1</v>
      </c>
      <c r="G29" s="8">
        <f>COUNTIF(Questions!$C$2:$C$199,$B29)</f>
        <v>5</v>
      </c>
      <c r="H29" s="8">
        <f>COUNTIFS(Questions!$C$2:$C$199,$B29,Questions!$G$2:$G$199,"Yes")</f>
        <v>0</v>
      </c>
      <c r="I29" s="9" t="str">
        <f t="shared" si="1"/>
        <v>Covered</v>
      </c>
    </row>
    <row r="30" ht="15.0" customHeight="1">
      <c r="A30" s="8">
        <v>27.0</v>
      </c>
      <c r="B30" s="9" t="s">
        <v>232</v>
      </c>
      <c r="C30" s="8">
        <f>COUNTIFS(Questions!$C$2:$C$199,$B30,Questions!$D$2:$D$199,C$3)</f>
        <v>3</v>
      </c>
      <c r="D30" s="8">
        <f>COUNTIFS(Questions!$C$2:$C$199,$B30,Questions!$D$2:$D$199,D$3)</f>
        <v>1</v>
      </c>
      <c r="E30" s="8">
        <f>COUNTIFS(Questions!$C$2:$C$199,$B30,Questions!$D$2:$D$199,E$3)</f>
        <v>0</v>
      </c>
      <c r="F30" s="8">
        <f>COUNTIFS(Questions!$C$2:$C$199,$B30,Questions!$D$2:$D$199,F$3)</f>
        <v>0</v>
      </c>
      <c r="G30" s="8">
        <f>COUNTIF(Questions!$C$2:$C$199,$B30)</f>
        <v>4</v>
      </c>
      <c r="H30" s="8">
        <f>COUNTIFS(Questions!$C$2:$C$199,$B30,Questions!$G$2:$G$199,"Yes")</f>
        <v>4</v>
      </c>
      <c r="I30" s="9" t="str">
        <f t="shared" si="1"/>
        <v>Covered</v>
      </c>
    </row>
    <row r="31" ht="15.0" customHeight="1">
      <c r="A31" s="8">
        <v>28.0</v>
      </c>
      <c r="B31" s="9" t="s">
        <v>235</v>
      </c>
      <c r="C31" s="8">
        <f>COUNTIFS(Questions!$C$2:$C$199,$B31,Questions!$D$2:$D$199,C$3)</f>
        <v>1</v>
      </c>
      <c r="D31" s="8">
        <f>COUNTIFS(Questions!$C$2:$C$199,$B31,Questions!$D$2:$D$199,D$3)</f>
        <v>0</v>
      </c>
      <c r="E31" s="8">
        <f>COUNTIFS(Questions!$C$2:$C$199,$B31,Questions!$D$2:$D$199,E$3)</f>
        <v>1</v>
      </c>
      <c r="F31" s="8">
        <f>COUNTIFS(Questions!$C$2:$C$199,$B31,Questions!$D$2:$D$199,F$3)</f>
        <v>2</v>
      </c>
      <c r="G31" s="8">
        <f>COUNTIF(Questions!$C$2:$C$199,$B31)</f>
        <v>4</v>
      </c>
      <c r="H31" s="8">
        <f>COUNTIFS(Questions!$C$2:$C$199,$B31,Questions!$G$2:$G$199,"Yes")</f>
        <v>0</v>
      </c>
      <c r="I31" s="9" t="str">
        <f t="shared" si="1"/>
        <v>Covered</v>
      </c>
    </row>
    <row r="32" ht="15.0" customHeight="1">
      <c r="A32" s="31"/>
      <c r="B32" s="31" t="s">
        <v>27</v>
      </c>
      <c r="C32" s="33">
        <f t="shared" ref="C32:H32" si="2">SUM(C4:C31)</f>
        <v>32</v>
      </c>
      <c r="D32" s="33">
        <f t="shared" si="2"/>
        <v>94</v>
      </c>
      <c r="E32" s="33">
        <f t="shared" si="2"/>
        <v>45</v>
      </c>
      <c r="F32" s="33">
        <f t="shared" si="2"/>
        <v>27</v>
      </c>
      <c r="G32" s="33">
        <f t="shared" si="2"/>
        <v>198</v>
      </c>
      <c r="H32" s="33">
        <f t="shared" si="2"/>
        <v>75</v>
      </c>
      <c r="I32" s="3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0"/>
    <col customWidth="1" min="3" max="3" width="10.0"/>
    <col customWidth="1" min="4" max="4" width="9.0"/>
    <col customWidth="1" min="5" max="5" width="11.0"/>
    <col customWidth="1" min="6" max="6" width="9.0"/>
    <col customWidth="1" min="7" max="26" width="8.71"/>
  </cols>
  <sheetData>
    <row r="1" ht="15.75" customHeight="1">
      <c r="A1" s="1" t="s">
        <v>347</v>
      </c>
      <c r="B1" s="3"/>
      <c r="C1" s="3"/>
      <c r="D1" s="3"/>
      <c r="E1" s="3"/>
      <c r="F1" s="3"/>
    </row>
    <row r="2">
      <c r="A2" s="3"/>
      <c r="B2" s="3"/>
      <c r="C2" s="3"/>
      <c r="D2" s="3"/>
      <c r="E2" s="3"/>
      <c r="F2" s="3"/>
    </row>
    <row r="3" ht="15.0" customHeight="1">
      <c r="A3" s="2" t="s">
        <v>7</v>
      </c>
      <c r="B3" s="2" t="s">
        <v>20</v>
      </c>
      <c r="C3" s="2" t="s">
        <v>21</v>
      </c>
      <c r="D3" s="2" t="s">
        <v>23</v>
      </c>
      <c r="E3" s="2" t="s">
        <v>24</v>
      </c>
      <c r="F3" s="2" t="s">
        <v>27</v>
      </c>
    </row>
    <row r="4" ht="15.0" customHeight="1">
      <c r="A4" s="9" t="s">
        <v>28</v>
      </c>
      <c r="B4" s="8">
        <f>COUNTIFS(Questions!$E$2:$E$199,"*"&amp;$A4&amp;"*",Questions!$D$2:$D$199,B$3)</f>
        <v>4</v>
      </c>
      <c r="C4" s="8">
        <f>COUNTIFS(Questions!$E$2:$E$199,"*"&amp;$A4&amp;"*",Questions!$D$2:$D$199,C$3)</f>
        <v>12</v>
      </c>
      <c r="D4" s="8">
        <f>COUNTIFS(Questions!$E$2:$E$199,"*"&amp;$A4&amp;"*",Questions!$D$2:$D$199,D$3)</f>
        <v>8</v>
      </c>
      <c r="E4" s="8">
        <f>COUNTIFS(Questions!$E$2:$E$199,"*"&amp;$A4&amp;"*",Questions!$D$2:$D$199,E$3)</f>
        <v>3</v>
      </c>
      <c r="F4" s="8">
        <f>COUNTIF(Questions!$E$2:$E$199,"*"&amp;$A4&amp;"*")</f>
        <v>27</v>
      </c>
    </row>
    <row r="5" ht="15.0" customHeight="1">
      <c r="A5" s="9" t="s">
        <v>170</v>
      </c>
      <c r="B5" s="8">
        <f>COUNTIFS(Questions!$E$2:$E$199,"*"&amp;$A5&amp;"*",Questions!$D$2:$D$199,B$3)</f>
        <v>2</v>
      </c>
      <c r="C5" s="8">
        <f>COUNTIFS(Questions!$E$2:$E$199,"*"&amp;$A5&amp;"*",Questions!$D$2:$D$199,C$3)</f>
        <v>5</v>
      </c>
      <c r="D5" s="8">
        <f>COUNTIFS(Questions!$E$2:$E$199,"*"&amp;$A5&amp;"*",Questions!$D$2:$D$199,D$3)</f>
        <v>3</v>
      </c>
      <c r="E5" s="8">
        <f>COUNTIFS(Questions!$E$2:$E$199,"*"&amp;$A5&amp;"*",Questions!$D$2:$D$199,E$3)</f>
        <v>0</v>
      </c>
      <c r="F5" s="8">
        <f>COUNTIF(Questions!$E$2:$E$199,"*"&amp;$A5&amp;"*")</f>
        <v>10</v>
      </c>
    </row>
    <row r="6" ht="15.0" customHeight="1">
      <c r="A6" s="9" t="s">
        <v>272</v>
      </c>
      <c r="B6" s="8">
        <f>COUNTIFS(Questions!$E$2:$E$199,"*"&amp;$A6&amp;"*",Questions!$D$2:$D$199,B$3)</f>
        <v>4</v>
      </c>
      <c r="C6" s="8">
        <f>COUNTIFS(Questions!$E$2:$E$199,"*"&amp;$A6&amp;"*",Questions!$D$2:$D$199,C$3)</f>
        <v>7</v>
      </c>
      <c r="D6" s="8">
        <f>COUNTIFS(Questions!$E$2:$E$199,"*"&amp;$A6&amp;"*",Questions!$D$2:$D$199,D$3)</f>
        <v>2</v>
      </c>
      <c r="E6" s="8">
        <f>COUNTIFS(Questions!$E$2:$E$199,"*"&amp;$A6&amp;"*",Questions!$D$2:$D$199,E$3)</f>
        <v>3</v>
      </c>
      <c r="F6" s="8">
        <f>COUNTIF(Questions!$E$2:$E$199,"*"&amp;$A6&amp;"*")</f>
        <v>16</v>
      </c>
    </row>
    <row r="7" ht="15.0" customHeight="1">
      <c r="A7" s="9" t="s">
        <v>155</v>
      </c>
      <c r="B7" s="8">
        <f>COUNTIFS(Questions!$E$2:$E$199,"*"&amp;$A7&amp;"*",Questions!$D$2:$D$199,B$3)</f>
        <v>0</v>
      </c>
      <c r="C7" s="8">
        <f>COUNTIFS(Questions!$E$2:$E$199,"*"&amp;$A7&amp;"*",Questions!$D$2:$D$199,C$3)</f>
        <v>5</v>
      </c>
      <c r="D7" s="8">
        <f>COUNTIFS(Questions!$E$2:$E$199,"*"&amp;$A7&amp;"*",Questions!$D$2:$D$199,D$3)</f>
        <v>8</v>
      </c>
      <c r="E7" s="8">
        <f>COUNTIFS(Questions!$E$2:$E$199,"*"&amp;$A7&amp;"*",Questions!$D$2:$D$199,E$3)</f>
        <v>5</v>
      </c>
      <c r="F7" s="8">
        <f>COUNTIF(Questions!$E$2:$E$199,"*"&amp;$A7&amp;"*")</f>
        <v>18</v>
      </c>
    </row>
    <row r="8" ht="15.0" customHeight="1">
      <c r="A8" s="9" t="s">
        <v>233</v>
      </c>
      <c r="B8" s="8">
        <f>COUNTIFS(Questions!$E$2:$E$199,"*"&amp;$A8&amp;"*",Questions!$D$2:$D$199,B$3)</f>
        <v>0</v>
      </c>
      <c r="C8" s="8">
        <f>COUNTIFS(Questions!$E$2:$E$199,"*"&amp;$A8&amp;"*",Questions!$D$2:$D$199,C$3)</f>
        <v>3</v>
      </c>
      <c r="D8" s="8">
        <f>COUNTIFS(Questions!$E$2:$E$199,"*"&amp;$A8&amp;"*",Questions!$D$2:$D$199,D$3)</f>
        <v>2</v>
      </c>
      <c r="E8" s="8">
        <f>COUNTIFS(Questions!$E$2:$E$199,"*"&amp;$A8&amp;"*",Questions!$D$2:$D$199,E$3)</f>
        <v>2</v>
      </c>
      <c r="F8" s="8">
        <f>COUNTIF(Questions!$E$2:$E$199,"*"&amp;$A8&amp;"*")</f>
        <v>7</v>
      </c>
    </row>
    <row r="9" ht="15.0" customHeight="1">
      <c r="A9" s="9" t="s">
        <v>201</v>
      </c>
      <c r="B9" s="8">
        <f>COUNTIFS(Questions!$E$2:$E$199,"*"&amp;$A9&amp;"*",Questions!$D$2:$D$199,B$3)</f>
        <v>1</v>
      </c>
      <c r="C9" s="8">
        <f>COUNTIFS(Questions!$E$2:$E$199,"*"&amp;$A9&amp;"*",Questions!$D$2:$D$199,C$3)</f>
        <v>7</v>
      </c>
      <c r="D9" s="8">
        <f>COUNTIFS(Questions!$E$2:$E$199,"*"&amp;$A9&amp;"*",Questions!$D$2:$D$199,D$3)</f>
        <v>2</v>
      </c>
      <c r="E9" s="8">
        <f>COUNTIFS(Questions!$E$2:$E$199,"*"&amp;$A9&amp;"*",Questions!$D$2:$D$199,E$3)</f>
        <v>1</v>
      </c>
      <c r="F9" s="8">
        <f>COUNTIF(Questions!$E$2:$E$199,"*"&amp;$A9&amp;"*")</f>
        <v>11</v>
      </c>
    </row>
    <row r="10" ht="15.0" customHeight="1">
      <c r="A10" s="9" t="s">
        <v>200</v>
      </c>
      <c r="B10" s="8">
        <f>COUNTIFS(Questions!$E$2:$E$199,"*"&amp;$A10&amp;"*",Questions!$D$2:$D$199,B$3)</f>
        <v>0</v>
      </c>
      <c r="C10" s="8">
        <f>COUNTIFS(Questions!$E$2:$E$199,"*"&amp;$A10&amp;"*",Questions!$D$2:$D$199,C$3)</f>
        <v>2</v>
      </c>
      <c r="D10" s="8">
        <f>COUNTIFS(Questions!$E$2:$E$199,"*"&amp;$A10&amp;"*",Questions!$D$2:$D$199,D$3)</f>
        <v>0</v>
      </c>
      <c r="E10" s="8">
        <f>COUNTIFS(Questions!$E$2:$E$199,"*"&amp;$A10&amp;"*",Questions!$D$2:$D$199,E$3)</f>
        <v>0</v>
      </c>
      <c r="F10" s="8">
        <f>COUNTIF(Questions!$E$2:$E$199,"*"&amp;$A10&amp;"*")</f>
        <v>2</v>
      </c>
    </row>
    <row r="11" ht="15.0" customHeight="1">
      <c r="A11" s="9" t="s">
        <v>118</v>
      </c>
      <c r="B11" s="8">
        <f>COUNTIFS(Questions!$E$2:$E$199,"*"&amp;$A11&amp;"*",Questions!$D$2:$D$199,B$3)</f>
        <v>0</v>
      </c>
      <c r="C11" s="8">
        <f>COUNTIFS(Questions!$E$2:$E$199,"*"&amp;$A11&amp;"*",Questions!$D$2:$D$199,C$3)</f>
        <v>1</v>
      </c>
      <c r="D11" s="8">
        <f>COUNTIFS(Questions!$E$2:$E$199,"*"&amp;$A11&amp;"*",Questions!$D$2:$D$199,D$3)</f>
        <v>2</v>
      </c>
      <c r="E11" s="8">
        <f>COUNTIFS(Questions!$E$2:$E$199,"*"&amp;$A11&amp;"*",Questions!$D$2:$D$199,E$3)</f>
        <v>1</v>
      </c>
      <c r="F11" s="8">
        <f>COUNTIF(Questions!$E$2:$E$199,"*"&amp;$A11&amp;"*")</f>
        <v>4</v>
      </c>
    </row>
    <row r="12" ht="15.0" customHeight="1">
      <c r="A12" s="9" t="s">
        <v>57</v>
      </c>
      <c r="B12" s="8">
        <f>COUNTIFS(Questions!$E$2:$E$199,"*"&amp;$A12&amp;"*",Questions!$D$2:$D$199,B$3)</f>
        <v>2</v>
      </c>
      <c r="C12" s="8">
        <f>COUNTIFS(Questions!$E$2:$E$199,"*"&amp;$A12&amp;"*",Questions!$D$2:$D$199,C$3)</f>
        <v>4</v>
      </c>
      <c r="D12" s="8">
        <f>COUNTIFS(Questions!$E$2:$E$199,"*"&amp;$A12&amp;"*",Questions!$D$2:$D$199,D$3)</f>
        <v>4</v>
      </c>
      <c r="E12" s="8">
        <f>COUNTIFS(Questions!$E$2:$E$199,"*"&amp;$A12&amp;"*",Questions!$D$2:$D$199,E$3)</f>
        <v>5</v>
      </c>
      <c r="F12" s="8">
        <f>COUNTIF(Questions!$E$2:$E$199,"*"&amp;$A12&amp;"*")</f>
        <v>15</v>
      </c>
    </row>
    <row r="13" ht="15.0" customHeight="1">
      <c r="A13" s="9" t="s">
        <v>191</v>
      </c>
      <c r="B13" s="8">
        <f>COUNTIFS(Questions!$E$2:$E$199,"*"&amp;$A13&amp;"*",Questions!$D$2:$D$199,B$3)</f>
        <v>2</v>
      </c>
      <c r="C13" s="8">
        <f>COUNTIFS(Questions!$E$2:$E$199,"*"&amp;$A13&amp;"*",Questions!$D$2:$D$199,C$3)</f>
        <v>7</v>
      </c>
      <c r="D13" s="8">
        <f>COUNTIFS(Questions!$E$2:$E$199,"*"&amp;$A13&amp;"*",Questions!$D$2:$D$199,D$3)</f>
        <v>3</v>
      </c>
      <c r="E13" s="8">
        <f>COUNTIFS(Questions!$E$2:$E$199,"*"&amp;$A13&amp;"*",Questions!$D$2:$D$199,E$3)</f>
        <v>2</v>
      </c>
      <c r="F13" s="8">
        <f>COUNTIF(Questions!$E$2:$E$199,"*"&amp;$A13&amp;"*")</f>
        <v>14</v>
      </c>
    </row>
    <row r="14" ht="15.0" customHeight="1">
      <c r="A14" s="9" t="s">
        <v>160</v>
      </c>
      <c r="B14" s="8">
        <f>COUNTIFS(Questions!$E$2:$E$199,"*"&amp;$A14&amp;"*",Questions!$D$2:$D$199,B$3)</f>
        <v>1</v>
      </c>
      <c r="C14" s="8">
        <f>COUNTIFS(Questions!$E$2:$E$199,"*"&amp;$A14&amp;"*",Questions!$D$2:$D$199,C$3)</f>
        <v>2</v>
      </c>
      <c r="D14" s="8">
        <f>COUNTIFS(Questions!$E$2:$E$199,"*"&amp;$A14&amp;"*",Questions!$D$2:$D$199,D$3)</f>
        <v>3</v>
      </c>
      <c r="E14" s="8">
        <f>COUNTIFS(Questions!$E$2:$E$199,"*"&amp;$A14&amp;"*",Questions!$D$2:$D$199,E$3)</f>
        <v>2</v>
      </c>
      <c r="F14" s="8">
        <f>COUNTIF(Questions!$E$2:$E$199,"*"&amp;$A14&amp;"*")</f>
        <v>8</v>
      </c>
    </row>
    <row r="15" ht="15.0" customHeight="1">
      <c r="A15" s="9" t="s">
        <v>71</v>
      </c>
      <c r="B15" s="8">
        <f>COUNTIFS(Questions!$E$2:$E$199,"*"&amp;$A15&amp;"*",Questions!$D$2:$D$199,B$3)</f>
        <v>0</v>
      </c>
      <c r="C15" s="8">
        <f>COUNTIFS(Questions!$E$2:$E$199,"*"&amp;$A15&amp;"*",Questions!$D$2:$D$199,C$3)</f>
        <v>2</v>
      </c>
      <c r="D15" s="8">
        <f>COUNTIFS(Questions!$E$2:$E$199,"*"&amp;$A15&amp;"*",Questions!$D$2:$D$199,D$3)</f>
        <v>1</v>
      </c>
      <c r="E15" s="8">
        <f>COUNTIFS(Questions!$E$2:$E$199,"*"&amp;$A15&amp;"*",Questions!$D$2:$D$199,E$3)</f>
        <v>0</v>
      </c>
      <c r="F15" s="8">
        <f>COUNTIF(Questions!$E$2:$E$199,"*"&amp;$A15&amp;"*")</f>
        <v>3</v>
      </c>
    </row>
    <row r="16" ht="15.0" customHeight="1">
      <c r="A16" s="9" t="s">
        <v>192</v>
      </c>
      <c r="B16" s="8">
        <f>COUNTIFS(Questions!$E$2:$E$199,"*"&amp;$A16&amp;"*",Questions!$D$2:$D$199,B$3)</f>
        <v>0</v>
      </c>
      <c r="C16" s="8">
        <f>COUNTIFS(Questions!$E$2:$E$199,"*"&amp;$A16&amp;"*",Questions!$D$2:$D$199,C$3)</f>
        <v>7</v>
      </c>
      <c r="D16" s="8">
        <f>COUNTIFS(Questions!$E$2:$E$199,"*"&amp;$A16&amp;"*",Questions!$D$2:$D$199,D$3)</f>
        <v>2</v>
      </c>
      <c r="E16" s="8">
        <f>COUNTIFS(Questions!$E$2:$E$199,"*"&amp;$A16&amp;"*",Questions!$D$2:$D$199,E$3)</f>
        <v>1</v>
      </c>
      <c r="F16" s="8">
        <f>COUNTIF(Questions!$E$2:$E$199,"*"&amp;$A16&amp;"*")</f>
        <v>10</v>
      </c>
    </row>
    <row r="17" ht="15.0" customHeight="1">
      <c r="A17" s="9" t="s">
        <v>40</v>
      </c>
      <c r="B17" s="8">
        <f>COUNTIFS(Questions!$E$2:$E$199,"*"&amp;$A17&amp;"*",Questions!$D$2:$D$199,B$3)</f>
        <v>6</v>
      </c>
      <c r="C17" s="8">
        <f>COUNTIFS(Questions!$E$2:$E$199,"*"&amp;$A17&amp;"*",Questions!$D$2:$D$199,C$3)</f>
        <v>6</v>
      </c>
      <c r="D17" s="8">
        <f>COUNTIFS(Questions!$E$2:$E$199,"*"&amp;$A17&amp;"*",Questions!$D$2:$D$199,D$3)</f>
        <v>2</v>
      </c>
      <c r="E17" s="8">
        <f>COUNTIFS(Questions!$E$2:$E$199,"*"&amp;$A17&amp;"*",Questions!$D$2:$D$199,E$3)</f>
        <v>2</v>
      </c>
      <c r="F17" s="8">
        <f>COUNTIF(Questions!$E$2:$E$199,"*"&amp;$A17&amp;"*")</f>
        <v>16</v>
      </c>
    </row>
    <row r="18" ht="15.0" customHeight="1">
      <c r="A18" s="9" t="s">
        <v>315</v>
      </c>
      <c r="B18" s="8">
        <f>COUNTIFS(Questions!$E$2:$E$199,"*"&amp;$A18&amp;"*",Questions!$D$2:$D$199,B$3)</f>
        <v>0</v>
      </c>
      <c r="C18" s="8">
        <f>COUNTIFS(Questions!$E$2:$E$199,"*"&amp;$A18&amp;"*",Questions!$D$2:$D$199,C$3)</f>
        <v>1</v>
      </c>
      <c r="D18" s="8">
        <f>COUNTIFS(Questions!$E$2:$E$199,"*"&amp;$A18&amp;"*",Questions!$D$2:$D$199,D$3)</f>
        <v>2</v>
      </c>
      <c r="E18" s="8">
        <f>COUNTIFS(Questions!$E$2:$E$199,"*"&amp;$A18&amp;"*",Questions!$D$2:$D$199,E$3)</f>
        <v>0</v>
      </c>
      <c r="F18" s="8">
        <f>COUNTIF(Questions!$E$2:$E$199,"*"&amp;$A18&amp;"*")</f>
        <v>3</v>
      </c>
    </row>
    <row r="19" ht="15.0" customHeight="1">
      <c r="A19" s="9" t="s">
        <v>348</v>
      </c>
      <c r="B19" s="8">
        <f>COUNTIFS(Questions!$E$2:$E$199,"-",Questions!$D$2:$D$199,B$3)</f>
        <v>11</v>
      </c>
      <c r="C19" s="8">
        <f>COUNTIFS(Questions!$E$2:$E$199,"-",Questions!$D$2:$D$199,C$3)</f>
        <v>24</v>
      </c>
      <c r="D19" s="8">
        <f>COUNTIFS(Questions!$E$2:$E$199,"-",Questions!$D$2:$D$199,D$3)</f>
        <v>2</v>
      </c>
      <c r="E19" s="8">
        <f>COUNTIFS(Questions!$E$2:$E$199,"-",Questions!$D$2:$D$199,E$3)</f>
        <v>0</v>
      </c>
      <c r="F19" s="8">
        <f>COUNTIF(Questions!$E$2:$E$199,"-")</f>
        <v>37</v>
      </c>
    </row>
    <row r="20" ht="15.0" customHeight="1">
      <c r="A20" s="31" t="s">
        <v>27</v>
      </c>
      <c r="B20" s="33">
        <f t="shared" ref="B20:F20" si="1">SUM(B4:B19)</f>
        <v>33</v>
      </c>
      <c r="C20" s="33">
        <f t="shared" si="1"/>
        <v>95</v>
      </c>
      <c r="D20" s="33">
        <f t="shared" si="1"/>
        <v>46</v>
      </c>
      <c r="E20" s="33">
        <f t="shared" si="1"/>
        <v>27</v>
      </c>
      <c r="F20" s="33">
        <f t="shared" si="1"/>
        <v>201</v>
      </c>
    </row>
    <row r="21" ht="15.75" customHeight="1">
      <c r="A21" s="3"/>
      <c r="B21" s="3"/>
      <c r="C21" s="3"/>
      <c r="D21" s="3"/>
      <c r="E21" s="3"/>
      <c r="F21" s="3"/>
    </row>
    <row r="22" ht="31.5" customHeight="1">
      <c r="A22" s="35" t="s">
        <v>349</v>
      </c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">
    <mergeCell ref="A22:F2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7.0"/>
    <col customWidth="1" min="3" max="3" width="48.0"/>
    <col customWidth="1" min="4" max="4" width="11.0"/>
    <col customWidth="1" min="5" max="5" width="30.0"/>
    <col customWidth="1" min="6" max="6" width="11.0"/>
    <col customWidth="1" min="7" max="7" width="34.0"/>
    <col customWidth="1" min="8" max="8" width="8.0"/>
    <col customWidth="1" min="9" max="9" width="40.0"/>
    <col customWidth="1" min="10" max="10" width="13.0"/>
    <col customWidth="1" min="11" max="11" width="48.0"/>
    <col customWidth="1" min="12" max="26" width="8.71"/>
  </cols>
  <sheetData>
    <row r="1">
      <c r="A1" s="1" t="s">
        <v>350</v>
      </c>
    </row>
    <row r="2">
      <c r="A2" s="36" t="s">
        <v>351</v>
      </c>
    </row>
    <row r="4">
      <c r="A4" s="2" t="s">
        <v>3</v>
      </c>
      <c r="B4" s="2" t="s">
        <v>352</v>
      </c>
      <c r="C4" s="2" t="s">
        <v>353</v>
      </c>
      <c r="D4" s="2" t="s">
        <v>5</v>
      </c>
      <c r="E4" s="2" t="s">
        <v>354</v>
      </c>
      <c r="F4" s="2" t="s">
        <v>355</v>
      </c>
      <c r="G4" s="2" t="s">
        <v>356</v>
      </c>
      <c r="H4" s="2" t="s">
        <v>8</v>
      </c>
      <c r="I4" s="2" t="s">
        <v>357</v>
      </c>
      <c r="J4" s="2" t="s">
        <v>10</v>
      </c>
      <c r="K4" s="2" t="s">
        <v>13</v>
      </c>
    </row>
    <row r="5">
      <c r="A5" s="8">
        <v>1.0</v>
      </c>
      <c r="B5" s="8">
        <v>442.0</v>
      </c>
      <c r="C5" s="9" t="s">
        <v>358</v>
      </c>
      <c r="D5" s="18" t="s">
        <v>21</v>
      </c>
      <c r="E5" s="9" t="s">
        <v>359</v>
      </c>
      <c r="F5" s="17" t="s">
        <v>360</v>
      </c>
      <c r="G5" s="9" t="s">
        <v>361</v>
      </c>
      <c r="H5" s="12" t="s">
        <v>25</v>
      </c>
      <c r="I5" s="37" t="s">
        <v>250</v>
      </c>
      <c r="J5" s="9" t="s">
        <v>31</v>
      </c>
      <c r="K5" s="16" t="s">
        <v>362</v>
      </c>
    </row>
    <row r="6">
      <c r="A6" s="8">
        <v>2.0</v>
      </c>
      <c r="B6" s="8">
        <v>189.0</v>
      </c>
      <c r="C6" s="9" t="s">
        <v>363</v>
      </c>
      <c r="D6" s="18" t="s">
        <v>21</v>
      </c>
      <c r="E6" s="9" t="s">
        <v>359</v>
      </c>
      <c r="F6" s="17" t="s">
        <v>360</v>
      </c>
      <c r="G6" s="9" t="s">
        <v>364</v>
      </c>
      <c r="H6" s="12" t="s">
        <v>25</v>
      </c>
      <c r="I6" s="9"/>
      <c r="J6" s="9" t="s">
        <v>31</v>
      </c>
      <c r="K6" s="16"/>
    </row>
    <row r="7">
      <c r="A7" s="22">
        <v>3.0</v>
      </c>
      <c r="B7" s="22">
        <v>31.0</v>
      </c>
      <c r="C7" s="24" t="s">
        <v>365</v>
      </c>
      <c r="D7" s="18" t="s">
        <v>21</v>
      </c>
      <c r="E7" s="24" t="s">
        <v>28</v>
      </c>
      <c r="F7" s="17" t="s">
        <v>360</v>
      </c>
      <c r="G7" s="24" t="s">
        <v>366</v>
      </c>
      <c r="H7" s="25" t="s">
        <v>25</v>
      </c>
      <c r="I7" s="24"/>
      <c r="J7" s="24" t="s">
        <v>31</v>
      </c>
      <c r="K7" s="28"/>
    </row>
    <row r="8">
      <c r="A8" s="8">
        <v>4.0</v>
      </c>
      <c r="B8" s="8">
        <v>167.0</v>
      </c>
      <c r="C8" s="9" t="s">
        <v>367</v>
      </c>
      <c r="D8" s="18" t="s">
        <v>21</v>
      </c>
      <c r="E8" s="9" t="s">
        <v>26</v>
      </c>
      <c r="F8" s="17" t="s">
        <v>360</v>
      </c>
      <c r="G8" s="9" t="s">
        <v>368</v>
      </c>
      <c r="H8" s="12" t="s">
        <v>25</v>
      </c>
      <c r="I8" s="37" t="s">
        <v>22</v>
      </c>
      <c r="J8" s="9" t="s">
        <v>31</v>
      </c>
      <c r="K8" s="16"/>
    </row>
    <row r="9">
      <c r="A9" s="8">
        <v>5.0</v>
      </c>
      <c r="B9" s="8">
        <v>26.0</v>
      </c>
      <c r="C9" s="9" t="s">
        <v>369</v>
      </c>
      <c r="D9" s="11" t="s">
        <v>20</v>
      </c>
      <c r="E9" s="9" t="s">
        <v>26</v>
      </c>
      <c r="F9" s="8" t="s">
        <v>370</v>
      </c>
      <c r="G9" s="9" t="s">
        <v>364</v>
      </c>
      <c r="H9" s="12" t="s">
        <v>25</v>
      </c>
      <c r="I9" s="37" t="s">
        <v>127</v>
      </c>
      <c r="J9" s="9" t="s">
        <v>31</v>
      </c>
      <c r="K9" s="16"/>
    </row>
    <row r="10">
      <c r="A10" s="22">
        <v>6.0</v>
      </c>
      <c r="B10" s="22">
        <v>239.0</v>
      </c>
      <c r="C10" s="24" t="s">
        <v>371</v>
      </c>
      <c r="D10" s="21" t="s">
        <v>23</v>
      </c>
      <c r="E10" s="24" t="s">
        <v>372</v>
      </c>
      <c r="F10" s="38" t="s">
        <v>373</v>
      </c>
      <c r="G10" s="24" t="s">
        <v>361</v>
      </c>
      <c r="H10" s="25" t="s">
        <v>25</v>
      </c>
      <c r="I10" s="24"/>
      <c r="J10" s="24" t="s">
        <v>31</v>
      </c>
      <c r="K10" s="28"/>
    </row>
    <row r="11">
      <c r="A11" s="22">
        <v>7.0</v>
      </c>
      <c r="B11" s="22">
        <v>438.0</v>
      </c>
      <c r="C11" s="24" t="s">
        <v>374</v>
      </c>
      <c r="D11" s="18" t="s">
        <v>21</v>
      </c>
      <c r="E11" s="24" t="s">
        <v>56</v>
      </c>
      <c r="F11" s="17" t="s">
        <v>360</v>
      </c>
      <c r="G11" s="24" t="s">
        <v>375</v>
      </c>
      <c r="H11" s="25" t="s">
        <v>25</v>
      </c>
      <c r="I11" s="24"/>
      <c r="J11" s="24" t="s">
        <v>31</v>
      </c>
      <c r="K11" s="28"/>
    </row>
    <row r="12">
      <c r="A12" s="22">
        <v>8.0</v>
      </c>
      <c r="B12" s="22">
        <v>904.0</v>
      </c>
      <c r="C12" s="24" t="s">
        <v>376</v>
      </c>
      <c r="D12" s="18" t="s">
        <v>21</v>
      </c>
      <c r="E12" s="24" t="s">
        <v>56</v>
      </c>
      <c r="F12" s="17" t="s">
        <v>360</v>
      </c>
      <c r="G12" s="24" t="s">
        <v>361</v>
      </c>
      <c r="H12" s="25" t="s">
        <v>25</v>
      </c>
      <c r="I12" s="24"/>
      <c r="J12" s="24" t="s">
        <v>31</v>
      </c>
      <c r="K12" s="28"/>
    </row>
    <row r="13">
      <c r="A13" s="22">
        <v>9.0</v>
      </c>
      <c r="B13" s="22">
        <v>209.0</v>
      </c>
      <c r="C13" s="24" t="s">
        <v>377</v>
      </c>
      <c r="D13" s="18" t="s">
        <v>21</v>
      </c>
      <c r="E13" s="24" t="s">
        <v>56</v>
      </c>
      <c r="F13" s="17" t="s">
        <v>360</v>
      </c>
      <c r="G13" s="24" t="s">
        <v>361</v>
      </c>
      <c r="H13" s="25" t="s">
        <v>25</v>
      </c>
      <c r="I13" s="37" t="s">
        <v>103</v>
      </c>
      <c r="J13" s="24" t="s">
        <v>31</v>
      </c>
      <c r="K13" s="28"/>
    </row>
    <row r="14">
      <c r="A14" s="22">
        <v>10.0</v>
      </c>
      <c r="B14" s="22">
        <v>567.0</v>
      </c>
      <c r="C14" s="24" t="s">
        <v>378</v>
      </c>
      <c r="D14" s="18" t="s">
        <v>21</v>
      </c>
      <c r="E14" s="24" t="s">
        <v>56</v>
      </c>
      <c r="F14" s="17" t="s">
        <v>360</v>
      </c>
      <c r="G14" s="24" t="s">
        <v>379</v>
      </c>
      <c r="H14" s="25" t="s">
        <v>25</v>
      </c>
      <c r="I14" s="24"/>
      <c r="J14" s="24" t="s">
        <v>31</v>
      </c>
      <c r="K14" s="28"/>
    </row>
    <row r="15">
      <c r="A15" s="8">
        <v>11.0</v>
      </c>
      <c r="B15" s="8">
        <v>853.0</v>
      </c>
      <c r="C15" s="9" t="s">
        <v>380</v>
      </c>
      <c r="D15" s="18" t="s">
        <v>21</v>
      </c>
      <c r="E15" s="9" t="s">
        <v>381</v>
      </c>
      <c r="F15" s="17" t="s">
        <v>360</v>
      </c>
      <c r="G15" s="9" t="s">
        <v>382</v>
      </c>
      <c r="H15" s="12" t="s">
        <v>25</v>
      </c>
      <c r="I15" s="9"/>
      <c r="J15" s="9" t="s">
        <v>31</v>
      </c>
      <c r="K15" s="16"/>
    </row>
    <row r="16">
      <c r="A16" s="8">
        <v>12.0</v>
      </c>
      <c r="B16" s="8">
        <v>739.0</v>
      </c>
      <c r="C16" s="9" t="s">
        <v>383</v>
      </c>
      <c r="D16" s="18" t="s">
        <v>21</v>
      </c>
      <c r="E16" s="9" t="s">
        <v>381</v>
      </c>
      <c r="F16" s="17" t="s">
        <v>360</v>
      </c>
      <c r="G16" s="9" t="s">
        <v>361</v>
      </c>
      <c r="H16" s="12" t="s">
        <v>25</v>
      </c>
      <c r="I16" s="9"/>
      <c r="J16" s="9" t="s">
        <v>31</v>
      </c>
      <c r="K16" s="16"/>
    </row>
    <row r="17">
      <c r="A17" s="8">
        <v>13.0</v>
      </c>
      <c r="B17" s="8">
        <v>394.0</v>
      </c>
      <c r="C17" s="9" t="s">
        <v>384</v>
      </c>
      <c r="D17" s="18" t="s">
        <v>21</v>
      </c>
      <c r="E17" s="9" t="s">
        <v>385</v>
      </c>
      <c r="F17" s="17" t="s">
        <v>360</v>
      </c>
      <c r="G17" s="9" t="s">
        <v>386</v>
      </c>
      <c r="H17" s="12" t="s">
        <v>25</v>
      </c>
      <c r="I17" s="9"/>
      <c r="J17" s="9" t="s">
        <v>31</v>
      </c>
      <c r="K17" s="16"/>
    </row>
    <row r="18">
      <c r="A18" s="22">
        <v>14.0</v>
      </c>
      <c r="B18" s="22">
        <v>162.0</v>
      </c>
      <c r="C18" s="24" t="s">
        <v>387</v>
      </c>
      <c r="D18" s="18" t="s">
        <v>21</v>
      </c>
      <c r="E18" s="24" t="s">
        <v>166</v>
      </c>
      <c r="F18" s="17" t="s">
        <v>360</v>
      </c>
      <c r="G18" s="24" t="s">
        <v>366</v>
      </c>
      <c r="H18" s="25" t="s">
        <v>25</v>
      </c>
      <c r="I18" s="24"/>
      <c r="J18" s="24" t="s">
        <v>31</v>
      </c>
      <c r="K18" s="28"/>
    </row>
    <row r="19">
      <c r="A19" s="22">
        <v>15.0</v>
      </c>
      <c r="B19" s="22">
        <v>875.0</v>
      </c>
      <c r="C19" s="24" t="s">
        <v>388</v>
      </c>
      <c r="D19" s="18" t="s">
        <v>21</v>
      </c>
      <c r="E19" s="24" t="s">
        <v>166</v>
      </c>
      <c r="F19" s="17" t="s">
        <v>360</v>
      </c>
      <c r="G19" s="24" t="s">
        <v>361</v>
      </c>
      <c r="H19" s="25" t="s">
        <v>25</v>
      </c>
      <c r="I19" s="24"/>
      <c r="J19" s="24" t="s">
        <v>31</v>
      </c>
      <c r="K19" s="28"/>
    </row>
    <row r="20">
      <c r="A20" s="22">
        <v>16.0</v>
      </c>
      <c r="B20" s="22">
        <v>74.0</v>
      </c>
      <c r="C20" s="24" t="s">
        <v>389</v>
      </c>
      <c r="D20" s="18" t="s">
        <v>21</v>
      </c>
      <c r="E20" s="24" t="s">
        <v>166</v>
      </c>
      <c r="F20" s="17" t="s">
        <v>360</v>
      </c>
      <c r="G20" s="24" t="s">
        <v>364</v>
      </c>
      <c r="H20" s="25" t="s">
        <v>25</v>
      </c>
      <c r="I20" s="37" t="s">
        <v>259</v>
      </c>
      <c r="J20" s="24" t="s">
        <v>31</v>
      </c>
      <c r="K20" s="28"/>
    </row>
    <row r="21" ht="15.75" customHeight="1">
      <c r="A21" s="22">
        <v>17.0</v>
      </c>
      <c r="B21" s="22">
        <v>81.0</v>
      </c>
      <c r="C21" s="24" t="s">
        <v>390</v>
      </c>
      <c r="D21" s="18" t="s">
        <v>21</v>
      </c>
      <c r="E21" s="24" t="s">
        <v>166</v>
      </c>
      <c r="F21" s="17" t="s">
        <v>360</v>
      </c>
      <c r="G21" s="24" t="s">
        <v>364</v>
      </c>
      <c r="H21" s="25" t="s">
        <v>25</v>
      </c>
      <c r="I21" s="37" t="s">
        <v>110</v>
      </c>
      <c r="J21" s="24" t="s">
        <v>31</v>
      </c>
      <c r="K21" s="28"/>
    </row>
    <row r="22" ht="15.75" customHeight="1">
      <c r="A22" s="22">
        <v>18.0</v>
      </c>
      <c r="B22" s="22">
        <v>981.0</v>
      </c>
      <c r="C22" s="24" t="s">
        <v>391</v>
      </c>
      <c r="D22" s="18" t="s">
        <v>21</v>
      </c>
      <c r="E22" s="24" t="s">
        <v>166</v>
      </c>
      <c r="F22" s="17" t="s">
        <v>360</v>
      </c>
      <c r="G22" s="24" t="s">
        <v>361</v>
      </c>
      <c r="H22" s="25" t="s">
        <v>25</v>
      </c>
      <c r="I22" s="24"/>
      <c r="J22" s="24" t="s">
        <v>31</v>
      </c>
      <c r="K22" s="28" t="s">
        <v>392</v>
      </c>
    </row>
    <row r="23" ht="15.75" customHeight="1">
      <c r="A23" s="22">
        <v>19.0</v>
      </c>
      <c r="B23" s="22">
        <v>278.0</v>
      </c>
      <c r="C23" s="24" t="s">
        <v>393</v>
      </c>
      <c r="D23" s="11" t="s">
        <v>20</v>
      </c>
      <c r="E23" s="24" t="s">
        <v>166</v>
      </c>
      <c r="F23" s="22" t="s">
        <v>370</v>
      </c>
      <c r="G23" s="24" t="s">
        <v>375</v>
      </c>
      <c r="H23" s="25" t="s">
        <v>25</v>
      </c>
      <c r="I23" s="24"/>
      <c r="J23" s="24" t="s">
        <v>31</v>
      </c>
      <c r="K23" s="28"/>
    </row>
    <row r="24" ht="15.75" customHeight="1">
      <c r="A24" s="8">
        <v>20.0</v>
      </c>
      <c r="B24" s="8">
        <v>25.0</v>
      </c>
      <c r="C24" s="9" t="s">
        <v>394</v>
      </c>
      <c r="D24" s="21" t="s">
        <v>23</v>
      </c>
      <c r="E24" s="9" t="s">
        <v>395</v>
      </c>
      <c r="F24" s="38" t="s">
        <v>373</v>
      </c>
      <c r="G24" s="9" t="s">
        <v>361</v>
      </c>
      <c r="H24" s="12" t="s">
        <v>25</v>
      </c>
      <c r="I24" s="9"/>
      <c r="J24" s="9" t="s">
        <v>31</v>
      </c>
      <c r="K24" s="16"/>
    </row>
    <row r="25" ht="15.75" customHeight="1">
      <c r="A25" s="8">
        <v>21.0</v>
      </c>
      <c r="B25" s="8">
        <v>138.0</v>
      </c>
      <c r="C25" s="9" t="s">
        <v>396</v>
      </c>
      <c r="D25" s="18" t="s">
        <v>21</v>
      </c>
      <c r="E25" s="9" t="s">
        <v>395</v>
      </c>
      <c r="F25" s="17" t="s">
        <v>360</v>
      </c>
      <c r="G25" s="9" t="s">
        <v>364</v>
      </c>
      <c r="H25" s="12" t="s">
        <v>25</v>
      </c>
      <c r="I25" s="9"/>
      <c r="J25" s="9" t="s">
        <v>31</v>
      </c>
      <c r="K25" s="16"/>
    </row>
    <row r="26" ht="15.75" customHeight="1">
      <c r="A26" s="8">
        <v>22.0</v>
      </c>
      <c r="B26" s="8">
        <v>148.0</v>
      </c>
      <c r="C26" s="9" t="s">
        <v>397</v>
      </c>
      <c r="D26" s="18" t="s">
        <v>21</v>
      </c>
      <c r="E26" s="9" t="s">
        <v>398</v>
      </c>
      <c r="F26" s="17" t="s">
        <v>360</v>
      </c>
      <c r="G26" s="9" t="s">
        <v>361</v>
      </c>
      <c r="H26" s="12" t="s">
        <v>25</v>
      </c>
      <c r="I26" s="37" t="s">
        <v>254</v>
      </c>
      <c r="J26" s="9" t="s">
        <v>31</v>
      </c>
      <c r="K26" s="16"/>
    </row>
    <row r="27" ht="15.75" customHeight="1">
      <c r="A27" s="22">
        <v>23.0</v>
      </c>
      <c r="B27" s="22">
        <v>199.0</v>
      </c>
      <c r="C27" s="24" t="s">
        <v>399</v>
      </c>
      <c r="D27" s="18" t="s">
        <v>21</v>
      </c>
      <c r="E27" s="24" t="s">
        <v>400</v>
      </c>
      <c r="F27" s="17" t="s">
        <v>360</v>
      </c>
      <c r="G27" s="24" t="s">
        <v>375</v>
      </c>
      <c r="H27" s="25" t="s">
        <v>25</v>
      </c>
      <c r="I27" s="24"/>
      <c r="J27" s="24" t="s">
        <v>31</v>
      </c>
      <c r="K27" s="28"/>
    </row>
    <row r="28" ht="15.75" customHeight="1">
      <c r="A28" s="22">
        <v>24.0</v>
      </c>
      <c r="B28" s="22">
        <v>1448.0</v>
      </c>
      <c r="C28" s="24" t="s">
        <v>401</v>
      </c>
      <c r="D28" s="18" t="s">
        <v>21</v>
      </c>
      <c r="E28" s="24" t="s">
        <v>402</v>
      </c>
      <c r="F28" s="17" t="s">
        <v>360</v>
      </c>
      <c r="G28" s="24" t="s">
        <v>386</v>
      </c>
      <c r="H28" s="25" t="s">
        <v>25</v>
      </c>
      <c r="I28" s="24"/>
      <c r="J28" s="24" t="s">
        <v>31</v>
      </c>
      <c r="K28" s="28"/>
    </row>
    <row r="29" ht="15.75" customHeight="1">
      <c r="A29" s="22">
        <v>25.0</v>
      </c>
      <c r="B29" s="22">
        <v>114.0</v>
      </c>
      <c r="C29" s="24" t="s">
        <v>403</v>
      </c>
      <c r="D29" s="18" t="s">
        <v>21</v>
      </c>
      <c r="E29" s="24" t="s">
        <v>402</v>
      </c>
      <c r="F29" s="17" t="s">
        <v>360</v>
      </c>
      <c r="G29" s="24" t="s">
        <v>364</v>
      </c>
      <c r="H29" s="25" t="s">
        <v>25</v>
      </c>
      <c r="I29" s="37" t="s">
        <v>310</v>
      </c>
      <c r="J29" s="24" t="s">
        <v>31</v>
      </c>
      <c r="K29" s="28"/>
    </row>
    <row r="30" ht="15.75" customHeight="1">
      <c r="A30" s="22">
        <v>26.0</v>
      </c>
      <c r="B30" s="22">
        <v>113.0</v>
      </c>
      <c r="C30" s="24" t="s">
        <v>404</v>
      </c>
      <c r="D30" s="18" t="s">
        <v>21</v>
      </c>
      <c r="E30" s="24" t="s">
        <v>402</v>
      </c>
      <c r="F30" s="17" t="s">
        <v>360</v>
      </c>
      <c r="G30" s="24" t="s">
        <v>364</v>
      </c>
      <c r="H30" s="25" t="s">
        <v>25</v>
      </c>
      <c r="I30" s="37" t="s">
        <v>291</v>
      </c>
      <c r="J30" s="24" t="s">
        <v>31</v>
      </c>
      <c r="K30" s="28"/>
    </row>
    <row r="31" ht="15.75" customHeight="1">
      <c r="A31" s="8">
        <v>27.0</v>
      </c>
      <c r="B31" s="8">
        <v>502.0</v>
      </c>
      <c r="C31" s="9" t="s">
        <v>405</v>
      </c>
      <c r="D31" s="21" t="s">
        <v>23</v>
      </c>
      <c r="E31" s="9" t="s">
        <v>406</v>
      </c>
      <c r="F31" s="38" t="s">
        <v>373</v>
      </c>
      <c r="G31" s="9" t="s">
        <v>407</v>
      </c>
      <c r="H31" s="12" t="s">
        <v>25</v>
      </c>
      <c r="I31" s="9"/>
      <c r="J31" s="9" t="s">
        <v>31</v>
      </c>
      <c r="K31" s="16"/>
    </row>
    <row r="32" ht="15.75" customHeight="1">
      <c r="A32" s="8">
        <v>28.0</v>
      </c>
      <c r="B32" s="8">
        <v>355.0</v>
      </c>
      <c r="C32" s="9" t="s">
        <v>408</v>
      </c>
      <c r="D32" s="18" t="s">
        <v>21</v>
      </c>
      <c r="E32" s="9" t="s">
        <v>409</v>
      </c>
      <c r="F32" s="17" t="s">
        <v>360</v>
      </c>
      <c r="G32" s="9" t="s">
        <v>361</v>
      </c>
      <c r="H32" s="12" t="s">
        <v>25</v>
      </c>
      <c r="I32" s="9"/>
      <c r="J32" s="9" t="s">
        <v>31</v>
      </c>
      <c r="K32" s="16"/>
    </row>
    <row r="33" ht="15.75" customHeight="1">
      <c r="A33" s="8">
        <v>29.0</v>
      </c>
      <c r="B33" s="8">
        <v>973.0</v>
      </c>
      <c r="C33" s="9" t="s">
        <v>410</v>
      </c>
      <c r="D33" s="18" t="s">
        <v>21</v>
      </c>
      <c r="E33" s="9" t="s">
        <v>411</v>
      </c>
      <c r="F33" s="17" t="s">
        <v>360</v>
      </c>
      <c r="G33" s="9" t="s">
        <v>412</v>
      </c>
      <c r="H33" s="12" t="s">
        <v>25</v>
      </c>
      <c r="I33" s="9"/>
      <c r="J33" s="9" t="s">
        <v>31</v>
      </c>
      <c r="K33" s="16"/>
    </row>
    <row r="34" ht="15.75" customHeight="1">
      <c r="A34" s="8">
        <v>30.0</v>
      </c>
      <c r="B34" s="8">
        <v>621.0</v>
      </c>
      <c r="C34" s="9" t="s">
        <v>413</v>
      </c>
      <c r="D34" s="18" t="s">
        <v>21</v>
      </c>
      <c r="E34" s="9" t="s">
        <v>406</v>
      </c>
      <c r="F34" s="17" t="s">
        <v>360</v>
      </c>
      <c r="G34" s="9" t="s">
        <v>379</v>
      </c>
      <c r="H34" s="12" t="s">
        <v>25</v>
      </c>
      <c r="I34" s="9"/>
      <c r="J34" s="9" t="s">
        <v>31</v>
      </c>
      <c r="K34" s="16"/>
    </row>
    <row r="35" ht="15.75" customHeight="1">
      <c r="A35" s="8">
        <v>31.0</v>
      </c>
      <c r="B35" s="8">
        <v>1046.0</v>
      </c>
      <c r="C35" s="9" t="s">
        <v>414</v>
      </c>
      <c r="D35" s="11" t="s">
        <v>20</v>
      </c>
      <c r="E35" s="9" t="s">
        <v>411</v>
      </c>
      <c r="F35" s="8" t="s">
        <v>370</v>
      </c>
      <c r="G35" s="9" t="s">
        <v>361</v>
      </c>
      <c r="H35" s="12" t="s">
        <v>25</v>
      </c>
      <c r="I35" s="9"/>
      <c r="J35" s="9" t="s">
        <v>31</v>
      </c>
      <c r="K35" s="16"/>
    </row>
    <row r="36" ht="15.75" customHeight="1">
      <c r="A36" s="22">
        <v>32.0</v>
      </c>
      <c r="B36" s="22">
        <v>40.0</v>
      </c>
      <c r="C36" s="24" t="s">
        <v>415</v>
      </c>
      <c r="D36" s="18" t="s">
        <v>21</v>
      </c>
      <c r="E36" s="24" t="s">
        <v>144</v>
      </c>
      <c r="F36" s="17" t="s">
        <v>360</v>
      </c>
      <c r="G36" s="24" t="s">
        <v>364</v>
      </c>
      <c r="H36" s="25" t="s">
        <v>25</v>
      </c>
      <c r="I36" s="37" t="s">
        <v>60</v>
      </c>
      <c r="J36" s="24" t="s">
        <v>31</v>
      </c>
      <c r="K36" s="28"/>
    </row>
    <row r="37" ht="15.75" customHeight="1">
      <c r="A37" s="22">
        <v>33.0</v>
      </c>
      <c r="B37" s="22">
        <v>131.0</v>
      </c>
      <c r="C37" s="24" t="s">
        <v>416</v>
      </c>
      <c r="D37" s="18" t="s">
        <v>21</v>
      </c>
      <c r="E37" s="24" t="s">
        <v>417</v>
      </c>
      <c r="F37" s="17" t="s">
        <v>360</v>
      </c>
      <c r="G37" s="24" t="s">
        <v>361</v>
      </c>
      <c r="H37" s="25" t="s">
        <v>25</v>
      </c>
      <c r="I37" s="37" t="s">
        <v>247</v>
      </c>
      <c r="J37" s="24" t="s">
        <v>31</v>
      </c>
      <c r="K37" s="28"/>
    </row>
    <row r="38" ht="15.75" customHeight="1">
      <c r="A38" s="22">
        <v>34.0</v>
      </c>
      <c r="B38" s="22">
        <v>90.0</v>
      </c>
      <c r="C38" s="24" t="s">
        <v>418</v>
      </c>
      <c r="D38" s="18" t="s">
        <v>21</v>
      </c>
      <c r="E38" s="24" t="s">
        <v>144</v>
      </c>
      <c r="F38" s="17" t="s">
        <v>360</v>
      </c>
      <c r="G38" s="24" t="s">
        <v>364</v>
      </c>
      <c r="H38" s="25" t="s">
        <v>25</v>
      </c>
      <c r="I38" s="37" t="s">
        <v>121</v>
      </c>
      <c r="J38" s="24" t="s">
        <v>31</v>
      </c>
      <c r="K38" s="28"/>
    </row>
    <row r="39" ht="15.75" customHeight="1">
      <c r="A39" s="8">
        <v>35.0</v>
      </c>
      <c r="B39" s="8">
        <v>332.0</v>
      </c>
      <c r="C39" s="9" t="s">
        <v>419</v>
      </c>
      <c r="D39" s="21" t="s">
        <v>23</v>
      </c>
      <c r="E39" s="9" t="s">
        <v>420</v>
      </c>
      <c r="F39" s="38" t="s">
        <v>373</v>
      </c>
      <c r="G39" s="9" t="s">
        <v>386</v>
      </c>
      <c r="H39" s="12" t="s">
        <v>25</v>
      </c>
      <c r="I39" s="9"/>
      <c r="J39" s="9" t="s">
        <v>31</v>
      </c>
      <c r="K39" s="16"/>
    </row>
    <row r="40" ht="15.75" customHeight="1">
      <c r="A40" s="8">
        <v>36.0</v>
      </c>
      <c r="B40" s="8">
        <v>778.0</v>
      </c>
      <c r="C40" s="9" t="s">
        <v>421</v>
      </c>
      <c r="D40" s="21" t="s">
        <v>23</v>
      </c>
      <c r="E40" s="9" t="s">
        <v>422</v>
      </c>
      <c r="F40" s="38" t="s">
        <v>373</v>
      </c>
      <c r="G40" s="9" t="s">
        <v>382</v>
      </c>
      <c r="H40" s="12" t="s">
        <v>25</v>
      </c>
      <c r="I40" s="9"/>
      <c r="J40" s="9" t="s">
        <v>31</v>
      </c>
      <c r="K40" s="16"/>
    </row>
    <row r="41" ht="15.75" customHeight="1">
      <c r="A41" s="8">
        <v>37.0</v>
      </c>
      <c r="B41" s="8">
        <v>127.0</v>
      </c>
      <c r="C41" s="9" t="s">
        <v>423</v>
      </c>
      <c r="D41" s="21" t="s">
        <v>23</v>
      </c>
      <c r="E41" s="9" t="s">
        <v>424</v>
      </c>
      <c r="F41" s="38" t="s">
        <v>373</v>
      </c>
      <c r="G41" s="9" t="s">
        <v>425</v>
      </c>
      <c r="H41" s="12" t="s">
        <v>25</v>
      </c>
      <c r="I41" s="9"/>
      <c r="J41" s="9" t="s">
        <v>31</v>
      </c>
      <c r="K41" s="16"/>
    </row>
    <row r="42" ht="15.75" customHeight="1">
      <c r="A42" s="8">
        <v>38.0</v>
      </c>
      <c r="B42" s="8">
        <v>787.0</v>
      </c>
      <c r="C42" s="9" t="s">
        <v>426</v>
      </c>
      <c r="D42" s="18" t="s">
        <v>21</v>
      </c>
      <c r="E42" s="9" t="s">
        <v>427</v>
      </c>
      <c r="F42" s="17" t="s">
        <v>360</v>
      </c>
      <c r="G42" s="9" t="s">
        <v>361</v>
      </c>
      <c r="H42" s="12" t="s">
        <v>25</v>
      </c>
      <c r="I42" s="9"/>
      <c r="J42" s="9" t="s">
        <v>31</v>
      </c>
      <c r="K42" s="16"/>
    </row>
    <row r="43" ht="15.75" customHeight="1">
      <c r="A43" s="8">
        <v>39.0</v>
      </c>
      <c r="B43" s="8">
        <v>695.0</v>
      </c>
      <c r="C43" s="9" t="s">
        <v>428</v>
      </c>
      <c r="D43" s="18" t="s">
        <v>21</v>
      </c>
      <c r="E43" s="9" t="s">
        <v>429</v>
      </c>
      <c r="F43" s="17" t="s">
        <v>360</v>
      </c>
      <c r="G43" s="9" t="s">
        <v>361</v>
      </c>
      <c r="H43" s="12" t="s">
        <v>25</v>
      </c>
      <c r="I43" s="37" t="s">
        <v>285</v>
      </c>
      <c r="J43" s="9" t="s">
        <v>31</v>
      </c>
      <c r="K43" s="16"/>
    </row>
    <row r="44" ht="15.75" customHeight="1">
      <c r="A44" s="8">
        <v>40.0</v>
      </c>
      <c r="B44" s="8">
        <v>1135.0</v>
      </c>
      <c r="C44" s="9" t="s">
        <v>430</v>
      </c>
      <c r="D44" s="18" t="s">
        <v>21</v>
      </c>
      <c r="E44" s="9" t="s">
        <v>431</v>
      </c>
      <c r="F44" s="17" t="s">
        <v>360</v>
      </c>
      <c r="G44" s="9" t="s">
        <v>361</v>
      </c>
      <c r="H44" s="12" t="s">
        <v>25</v>
      </c>
      <c r="I44" s="37" t="s">
        <v>279</v>
      </c>
      <c r="J44" s="9" t="s">
        <v>31</v>
      </c>
      <c r="K44" s="16" t="s">
        <v>432</v>
      </c>
    </row>
    <row r="45" ht="15.75" customHeight="1">
      <c r="A45" s="8">
        <v>41.0</v>
      </c>
      <c r="B45" s="8">
        <v>684.0</v>
      </c>
      <c r="C45" s="9" t="s">
        <v>433</v>
      </c>
      <c r="D45" s="18" t="s">
        <v>21</v>
      </c>
      <c r="E45" s="9" t="s">
        <v>434</v>
      </c>
      <c r="F45" s="17" t="s">
        <v>360</v>
      </c>
      <c r="G45" s="9" t="s">
        <v>361</v>
      </c>
      <c r="H45" s="12" t="s">
        <v>25</v>
      </c>
      <c r="I45" s="37" t="s">
        <v>175</v>
      </c>
      <c r="J45" s="9" t="s">
        <v>31</v>
      </c>
      <c r="K45" s="16"/>
    </row>
    <row r="46" ht="15.75" customHeight="1">
      <c r="A46" s="8">
        <v>42.0</v>
      </c>
      <c r="B46" s="8">
        <v>130.0</v>
      </c>
      <c r="C46" s="9" t="s">
        <v>435</v>
      </c>
      <c r="D46" s="18" t="s">
        <v>21</v>
      </c>
      <c r="E46" s="9" t="s">
        <v>429</v>
      </c>
      <c r="F46" s="17" t="s">
        <v>360</v>
      </c>
      <c r="G46" s="9" t="s">
        <v>361</v>
      </c>
      <c r="H46" s="12" t="s">
        <v>25</v>
      </c>
      <c r="I46" s="37" t="s">
        <v>281</v>
      </c>
      <c r="J46" s="9" t="s">
        <v>31</v>
      </c>
      <c r="K46" s="16"/>
    </row>
    <row r="47" ht="15.75" customHeight="1">
      <c r="A47" s="8">
        <v>43.0</v>
      </c>
      <c r="B47" s="8">
        <v>286.0</v>
      </c>
      <c r="C47" s="9" t="s">
        <v>436</v>
      </c>
      <c r="D47" s="18" t="s">
        <v>21</v>
      </c>
      <c r="E47" s="9" t="s">
        <v>424</v>
      </c>
      <c r="F47" s="17" t="s">
        <v>360</v>
      </c>
      <c r="G47" s="9" t="s">
        <v>437</v>
      </c>
      <c r="H47" s="12" t="s">
        <v>25</v>
      </c>
      <c r="I47" s="37" t="s">
        <v>283</v>
      </c>
      <c r="J47" s="9" t="s">
        <v>31</v>
      </c>
      <c r="K47" s="16" t="s">
        <v>392</v>
      </c>
    </row>
    <row r="48" ht="15.75" customHeight="1">
      <c r="A48" s="8">
        <v>44.0</v>
      </c>
      <c r="B48" s="8">
        <v>997.0</v>
      </c>
      <c r="C48" s="9" t="s">
        <v>438</v>
      </c>
      <c r="D48" s="11" t="s">
        <v>20</v>
      </c>
      <c r="E48" s="9" t="s">
        <v>201</v>
      </c>
      <c r="F48" s="8" t="s">
        <v>370</v>
      </c>
      <c r="G48" s="9" t="s">
        <v>361</v>
      </c>
      <c r="H48" s="12" t="s">
        <v>25</v>
      </c>
      <c r="I48" s="9"/>
      <c r="J48" s="9" t="s">
        <v>31</v>
      </c>
      <c r="K48" s="16"/>
    </row>
    <row r="49" ht="15.75" customHeight="1">
      <c r="A49" s="22">
        <v>45.0</v>
      </c>
      <c r="B49" s="22">
        <v>746.0</v>
      </c>
      <c r="C49" s="24" t="s">
        <v>439</v>
      </c>
      <c r="D49" s="11" t="s">
        <v>20</v>
      </c>
      <c r="E49" s="24" t="s">
        <v>440</v>
      </c>
      <c r="F49" s="22" t="s">
        <v>370</v>
      </c>
      <c r="G49" s="24" t="s">
        <v>361</v>
      </c>
      <c r="H49" s="25" t="s">
        <v>25</v>
      </c>
      <c r="I49" s="37" t="s">
        <v>179</v>
      </c>
      <c r="J49" s="24" t="s">
        <v>31</v>
      </c>
      <c r="K49" s="28"/>
    </row>
    <row r="50" ht="15.75" customHeight="1">
      <c r="A50" s="8">
        <v>46.0</v>
      </c>
      <c r="B50" s="8">
        <v>312.0</v>
      </c>
      <c r="C50" s="9" t="s">
        <v>441</v>
      </c>
      <c r="D50" s="21" t="s">
        <v>23</v>
      </c>
      <c r="E50" s="9" t="s">
        <v>442</v>
      </c>
      <c r="F50" s="38" t="s">
        <v>373</v>
      </c>
      <c r="G50" s="9" t="s">
        <v>361</v>
      </c>
      <c r="H50" s="12" t="s">
        <v>25</v>
      </c>
      <c r="I50" s="9"/>
      <c r="J50" s="9" t="s">
        <v>31</v>
      </c>
      <c r="K50" s="16"/>
    </row>
    <row r="51" ht="15.75" customHeight="1">
      <c r="A51" s="8">
        <v>47.0</v>
      </c>
      <c r="B51" s="8">
        <v>10.0</v>
      </c>
      <c r="C51" s="9" t="s">
        <v>443</v>
      </c>
      <c r="D51" s="21" t="s">
        <v>23</v>
      </c>
      <c r="E51" s="9" t="s">
        <v>442</v>
      </c>
      <c r="F51" s="38" t="s">
        <v>373</v>
      </c>
      <c r="G51" s="9" t="s">
        <v>444</v>
      </c>
      <c r="H51" s="12" t="s">
        <v>25</v>
      </c>
      <c r="I51" s="9"/>
      <c r="J51" s="9" t="s">
        <v>31</v>
      </c>
      <c r="K51" s="16"/>
    </row>
    <row r="52" ht="15.75" customHeight="1">
      <c r="A52" s="8">
        <v>48.0</v>
      </c>
      <c r="B52" s="8">
        <v>64.0</v>
      </c>
      <c r="C52" s="9" t="s">
        <v>445</v>
      </c>
      <c r="D52" s="18" t="s">
        <v>21</v>
      </c>
      <c r="E52" s="9" t="s">
        <v>442</v>
      </c>
      <c r="F52" s="17" t="s">
        <v>360</v>
      </c>
      <c r="G52" s="9" t="s">
        <v>361</v>
      </c>
      <c r="H52" s="12" t="s">
        <v>25</v>
      </c>
      <c r="I52" s="9"/>
      <c r="J52" s="9" t="s">
        <v>31</v>
      </c>
      <c r="K52" s="16"/>
    </row>
    <row r="53" ht="15.75" customHeight="1">
      <c r="A53" s="8">
        <v>49.0</v>
      </c>
      <c r="B53" s="8">
        <v>494.0</v>
      </c>
      <c r="C53" s="9" t="s">
        <v>446</v>
      </c>
      <c r="D53" s="18" t="s">
        <v>21</v>
      </c>
      <c r="E53" s="9" t="s">
        <v>447</v>
      </c>
      <c r="F53" s="17" t="s">
        <v>360</v>
      </c>
      <c r="G53" s="9" t="s">
        <v>361</v>
      </c>
      <c r="H53" s="12" t="s">
        <v>25</v>
      </c>
      <c r="I53" s="37" t="s">
        <v>241</v>
      </c>
      <c r="J53" s="9" t="s">
        <v>31</v>
      </c>
      <c r="K53" s="16"/>
    </row>
    <row r="54" ht="15.75" customHeight="1">
      <c r="A54" s="8">
        <v>50.0</v>
      </c>
      <c r="B54" s="8">
        <v>63.0</v>
      </c>
      <c r="C54" s="9" t="s">
        <v>448</v>
      </c>
      <c r="D54" s="18" t="s">
        <v>21</v>
      </c>
      <c r="E54" s="9" t="s">
        <v>442</v>
      </c>
      <c r="F54" s="17" t="s">
        <v>360</v>
      </c>
      <c r="G54" s="9" t="s">
        <v>361</v>
      </c>
      <c r="H54" s="12" t="s">
        <v>25</v>
      </c>
      <c r="I54" s="37" t="s">
        <v>203</v>
      </c>
      <c r="J54" s="9" t="s">
        <v>31</v>
      </c>
      <c r="K54" s="16"/>
    </row>
    <row r="55" ht="15.75" customHeight="1">
      <c r="A55" s="22">
        <v>51.0</v>
      </c>
      <c r="B55" s="22">
        <v>846.0</v>
      </c>
      <c r="C55" s="24" t="s">
        <v>449</v>
      </c>
      <c r="D55" s="18" t="s">
        <v>21</v>
      </c>
      <c r="E55" s="24" t="s">
        <v>450</v>
      </c>
      <c r="F55" s="17" t="s">
        <v>360</v>
      </c>
      <c r="G55" s="24" t="s">
        <v>382</v>
      </c>
      <c r="H55" s="25" t="s">
        <v>25</v>
      </c>
      <c r="I55" s="24"/>
      <c r="J55" s="24" t="s">
        <v>31</v>
      </c>
      <c r="K55" s="28"/>
    </row>
    <row r="56" ht="15.75" customHeight="1">
      <c r="A56" s="22">
        <v>52.0</v>
      </c>
      <c r="B56" s="22">
        <v>452.0</v>
      </c>
      <c r="C56" s="24" t="s">
        <v>451</v>
      </c>
      <c r="D56" s="18" t="s">
        <v>21</v>
      </c>
      <c r="E56" s="24" t="s">
        <v>452</v>
      </c>
      <c r="F56" s="17" t="s">
        <v>360</v>
      </c>
      <c r="G56" s="24" t="s">
        <v>361</v>
      </c>
      <c r="H56" s="25" t="s">
        <v>25</v>
      </c>
      <c r="I56" s="37" t="s">
        <v>67</v>
      </c>
      <c r="J56" s="24" t="s">
        <v>31</v>
      </c>
      <c r="K56" s="28"/>
    </row>
    <row r="57" ht="15.75" customHeight="1">
      <c r="A57" s="22">
        <v>53.0</v>
      </c>
      <c r="B57" s="22">
        <v>763.0</v>
      </c>
      <c r="C57" s="24" t="s">
        <v>453</v>
      </c>
      <c r="D57" s="18" t="s">
        <v>21</v>
      </c>
      <c r="E57" s="24" t="s">
        <v>450</v>
      </c>
      <c r="F57" s="17" t="s">
        <v>360</v>
      </c>
      <c r="G57" s="24" t="s">
        <v>361</v>
      </c>
      <c r="H57" s="25" t="s">
        <v>25</v>
      </c>
      <c r="I57" s="24"/>
      <c r="J57" s="24" t="s">
        <v>31</v>
      </c>
      <c r="K57" s="28"/>
    </row>
    <row r="58" ht="15.75" customHeight="1">
      <c r="A58" s="8">
        <v>54.0</v>
      </c>
      <c r="B58" s="8">
        <v>1851.0</v>
      </c>
      <c r="C58" s="9" t="s">
        <v>454</v>
      </c>
      <c r="D58" s="21" t="s">
        <v>23</v>
      </c>
      <c r="E58" s="9" t="s">
        <v>455</v>
      </c>
      <c r="F58" s="38" t="s">
        <v>373</v>
      </c>
      <c r="G58" s="9" t="s">
        <v>361</v>
      </c>
      <c r="H58" s="12" t="s">
        <v>25</v>
      </c>
      <c r="I58" s="9"/>
      <c r="J58" s="9" t="s">
        <v>31</v>
      </c>
      <c r="K58" s="16"/>
    </row>
    <row r="59" ht="15.75" customHeight="1">
      <c r="A59" s="22">
        <v>55.0</v>
      </c>
      <c r="B59" s="22">
        <v>43.0</v>
      </c>
      <c r="C59" s="24" t="s">
        <v>456</v>
      </c>
      <c r="D59" s="18" t="s">
        <v>21</v>
      </c>
      <c r="E59" s="24" t="s">
        <v>457</v>
      </c>
      <c r="F59" s="17" t="s">
        <v>360</v>
      </c>
      <c r="G59" s="24" t="s">
        <v>361</v>
      </c>
      <c r="H59" s="25" t="s">
        <v>25</v>
      </c>
      <c r="I59" s="24"/>
      <c r="J59" s="24" t="s">
        <v>31</v>
      </c>
      <c r="K59" s="28"/>
    </row>
    <row r="60" ht="15.75" customHeight="1">
      <c r="A60" s="22">
        <v>56.0</v>
      </c>
      <c r="B60" s="22">
        <v>50.0</v>
      </c>
      <c r="C60" s="24" t="s">
        <v>458</v>
      </c>
      <c r="D60" s="18" t="s">
        <v>21</v>
      </c>
      <c r="E60" s="24" t="s">
        <v>459</v>
      </c>
      <c r="F60" s="17" t="s">
        <v>360</v>
      </c>
      <c r="G60" s="24" t="s">
        <v>460</v>
      </c>
      <c r="H60" s="25" t="s">
        <v>25</v>
      </c>
      <c r="I60" s="24"/>
      <c r="J60" s="24" t="s">
        <v>31</v>
      </c>
      <c r="K60" s="28"/>
    </row>
    <row r="61" ht="15.75" customHeight="1">
      <c r="A61" s="22">
        <v>57.0</v>
      </c>
      <c r="B61" s="22">
        <v>202.0</v>
      </c>
      <c r="C61" s="24" t="s">
        <v>461</v>
      </c>
      <c r="D61" s="11" t="s">
        <v>20</v>
      </c>
      <c r="E61" s="24" t="s">
        <v>457</v>
      </c>
      <c r="F61" s="22" t="s">
        <v>370</v>
      </c>
      <c r="G61" s="24" t="s">
        <v>361</v>
      </c>
      <c r="H61" s="25" t="s">
        <v>25</v>
      </c>
      <c r="I61" s="24"/>
      <c r="J61" s="24" t="s">
        <v>31</v>
      </c>
      <c r="K61" s="28"/>
    </row>
    <row r="62" ht="15.75" customHeight="1">
      <c r="A62" s="22">
        <v>58.0</v>
      </c>
      <c r="B62" s="22">
        <v>66.0</v>
      </c>
      <c r="C62" s="24" t="s">
        <v>462</v>
      </c>
      <c r="D62" s="11" t="s">
        <v>20</v>
      </c>
      <c r="E62" s="24" t="s">
        <v>457</v>
      </c>
      <c r="F62" s="22" t="s">
        <v>370</v>
      </c>
      <c r="G62" s="24" t="s">
        <v>460</v>
      </c>
      <c r="H62" s="25" t="s">
        <v>25</v>
      </c>
      <c r="I62" s="24"/>
      <c r="J62" s="24" t="s">
        <v>31</v>
      </c>
      <c r="K62" s="28"/>
    </row>
    <row r="63" ht="15.75" customHeight="1">
      <c r="A63" s="8">
        <v>59.0</v>
      </c>
      <c r="B63" s="8">
        <v>7.0</v>
      </c>
      <c r="C63" s="9" t="s">
        <v>463</v>
      </c>
      <c r="D63" s="18" t="s">
        <v>21</v>
      </c>
      <c r="E63" s="9" t="s">
        <v>464</v>
      </c>
      <c r="F63" s="17" t="s">
        <v>360</v>
      </c>
      <c r="G63" s="9" t="s">
        <v>465</v>
      </c>
      <c r="H63" s="12" t="s">
        <v>25</v>
      </c>
      <c r="I63" s="9"/>
      <c r="J63" s="9" t="s">
        <v>31</v>
      </c>
      <c r="K63" s="16"/>
    </row>
    <row r="64" ht="15.75" customHeight="1">
      <c r="A64" s="8">
        <v>60.0</v>
      </c>
      <c r="B64" s="8">
        <v>136.0</v>
      </c>
      <c r="C64" s="9" t="s">
        <v>466</v>
      </c>
      <c r="D64" s="11" t="s">
        <v>20</v>
      </c>
      <c r="E64" s="9" t="s">
        <v>467</v>
      </c>
      <c r="F64" s="8" t="s">
        <v>370</v>
      </c>
      <c r="G64" s="9" t="s">
        <v>460</v>
      </c>
      <c r="H64" s="12" t="s">
        <v>25</v>
      </c>
      <c r="I64" s="9"/>
      <c r="J64" s="9" t="s">
        <v>31</v>
      </c>
      <c r="K64" s="16"/>
    </row>
    <row r="65" ht="15.75" customHeight="1">
      <c r="A65" s="22">
        <v>61.0</v>
      </c>
      <c r="B65" s="22">
        <v>38.0</v>
      </c>
      <c r="C65" s="24" t="s">
        <v>468</v>
      </c>
      <c r="D65" s="18" t="s">
        <v>21</v>
      </c>
      <c r="E65" s="24" t="s">
        <v>469</v>
      </c>
      <c r="F65" s="17" t="s">
        <v>360</v>
      </c>
      <c r="G65" s="24" t="s">
        <v>361</v>
      </c>
      <c r="H65" s="25" t="s">
        <v>25</v>
      </c>
      <c r="I65" s="24"/>
      <c r="J65" s="24" t="s">
        <v>31</v>
      </c>
      <c r="K65" s="28"/>
    </row>
    <row r="66" ht="15.75" customHeight="1">
      <c r="A66" s="22">
        <v>62.0</v>
      </c>
      <c r="B66" s="22">
        <v>12.0</v>
      </c>
      <c r="C66" s="24" t="s">
        <v>470</v>
      </c>
      <c r="D66" s="18" t="s">
        <v>21</v>
      </c>
      <c r="E66" s="24" t="s">
        <v>469</v>
      </c>
      <c r="F66" s="17" t="s">
        <v>360</v>
      </c>
      <c r="G66" s="24" t="s">
        <v>361</v>
      </c>
      <c r="H66" s="25" t="s">
        <v>25</v>
      </c>
      <c r="I66" s="24"/>
      <c r="J66" s="24" t="s">
        <v>31</v>
      </c>
      <c r="K66" s="28"/>
    </row>
    <row r="67" ht="15.75" customHeight="1">
      <c r="A67" s="22">
        <v>63.0</v>
      </c>
      <c r="B67" s="22">
        <v>1647.0</v>
      </c>
      <c r="C67" s="24" t="s">
        <v>471</v>
      </c>
      <c r="D67" s="18" t="s">
        <v>21</v>
      </c>
      <c r="E67" s="24" t="s">
        <v>472</v>
      </c>
      <c r="F67" s="17" t="s">
        <v>360</v>
      </c>
      <c r="G67" s="24" t="s">
        <v>407</v>
      </c>
      <c r="H67" s="25" t="s">
        <v>25</v>
      </c>
      <c r="I67" s="24"/>
      <c r="J67" s="24" t="s">
        <v>31</v>
      </c>
      <c r="K67" s="28" t="s">
        <v>473</v>
      </c>
    </row>
    <row r="68" ht="15.75" customHeight="1">
      <c r="A68" s="22">
        <v>64.0</v>
      </c>
      <c r="B68" s="22">
        <v>8.0</v>
      </c>
      <c r="C68" s="24" t="s">
        <v>474</v>
      </c>
      <c r="D68" s="18" t="s">
        <v>21</v>
      </c>
      <c r="E68" s="24" t="s">
        <v>469</v>
      </c>
      <c r="F68" s="17" t="s">
        <v>360</v>
      </c>
      <c r="G68" s="24" t="s">
        <v>364</v>
      </c>
      <c r="H68" s="25" t="s">
        <v>25</v>
      </c>
      <c r="I68" s="24"/>
      <c r="J68" s="24" t="s">
        <v>31</v>
      </c>
      <c r="K68" s="28"/>
    </row>
    <row r="69" ht="15.75" customHeight="1">
      <c r="A69" s="22">
        <v>65.0</v>
      </c>
      <c r="B69" s="22">
        <v>6.0</v>
      </c>
      <c r="C69" s="24" t="s">
        <v>475</v>
      </c>
      <c r="D69" s="18" t="s">
        <v>21</v>
      </c>
      <c r="E69" s="24" t="s">
        <v>469</v>
      </c>
      <c r="F69" s="17" t="s">
        <v>360</v>
      </c>
      <c r="G69" s="24" t="s">
        <v>364</v>
      </c>
      <c r="H69" s="25" t="s">
        <v>25</v>
      </c>
      <c r="I69" s="24"/>
      <c r="J69" s="24" t="s">
        <v>31</v>
      </c>
      <c r="K69" s="28"/>
    </row>
    <row r="70" ht="15.75" customHeight="1">
      <c r="A70" s="22">
        <v>66.0</v>
      </c>
      <c r="B70" s="22">
        <v>14.0</v>
      </c>
      <c r="C70" s="24" t="s">
        <v>476</v>
      </c>
      <c r="D70" s="11" t="s">
        <v>20</v>
      </c>
      <c r="E70" s="24" t="s">
        <v>469</v>
      </c>
      <c r="F70" s="22" t="s">
        <v>370</v>
      </c>
      <c r="G70" s="24" t="s">
        <v>460</v>
      </c>
      <c r="H70" s="25" t="s">
        <v>25</v>
      </c>
      <c r="I70" s="24"/>
      <c r="J70" s="24" t="s">
        <v>31</v>
      </c>
      <c r="K70" s="28"/>
    </row>
    <row r="71" ht="15.75" customHeight="1">
      <c r="A71" s="22">
        <v>67.0</v>
      </c>
      <c r="B71" s="22">
        <v>409.0</v>
      </c>
      <c r="C71" s="24" t="s">
        <v>477</v>
      </c>
      <c r="D71" s="11" t="s">
        <v>20</v>
      </c>
      <c r="E71" s="24" t="s">
        <v>478</v>
      </c>
      <c r="F71" s="22" t="s">
        <v>370</v>
      </c>
      <c r="G71" s="24" t="s">
        <v>361</v>
      </c>
      <c r="H71" s="25" t="s">
        <v>25</v>
      </c>
      <c r="I71" s="24"/>
      <c r="J71" s="24" t="s">
        <v>31</v>
      </c>
      <c r="K71" s="28"/>
    </row>
    <row r="72" ht="15.75" customHeight="1">
      <c r="A72" s="22">
        <v>68.0</v>
      </c>
      <c r="B72" s="22">
        <v>13.0</v>
      </c>
      <c r="C72" s="24" t="s">
        <v>479</v>
      </c>
      <c r="D72" s="11" t="s">
        <v>20</v>
      </c>
      <c r="E72" s="24" t="s">
        <v>478</v>
      </c>
      <c r="F72" s="22" t="s">
        <v>370</v>
      </c>
      <c r="G72" s="24" t="s">
        <v>460</v>
      </c>
      <c r="H72" s="25" t="s">
        <v>25</v>
      </c>
      <c r="I72" s="24"/>
      <c r="J72" s="24" t="s">
        <v>31</v>
      </c>
      <c r="K72" s="28"/>
    </row>
    <row r="73" ht="15.75" customHeight="1">
      <c r="A73" s="8">
        <v>69.0</v>
      </c>
      <c r="B73" s="8">
        <v>588.0</v>
      </c>
      <c r="C73" s="9" t="s">
        <v>480</v>
      </c>
      <c r="D73" s="21" t="s">
        <v>23</v>
      </c>
      <c r="E73" s="9" t="s">
        <v>481</v>
      </c>
      <c r="F73" s="38" t="s">
        <v>373</v>
      </c>
      <c r="G73" s="9" t="s">
        <v>361</v>
      </c>
      <c r="H73" s="12" t="s">
        <v>25</v>
      </c>
      <c r="I73" s="9"/>
      <c r="J73" s="9" t="s">
        <v>31</v>
      </c>
      <c r="K73" s="16" t="s">
        <v>392</v>
      </c>
    </row>
    <row r="74" ht="15.75" customHeight="1">
      <c r="A74" s="8">
        <v>70.0</v>
      </c>
      <c r="B74" s="8">
        <v>460.0</v>
      </c>
      <c r="C74" s="9" t="s">
        <v>482</v>
      </c>
      <c r="D74" s="21" t="s">
        <v>23</v>
      </c>
      <c r="E74" s="9" t="s">
        <v>483</v>
      </c>
      <c r="F74" s="38" t="s">
        <v>373</v>
      </c>
      <c r="G74" s="9" t="s">
        <v>361</v>
      </c>
      <c r="H74" s="12" t="s">
        <v>25</v>
      </c>
      <c r="I74" s="37" t="s">
        <v>340</v>
      </c>
      <c r="J74" s="9" t="s">
        <v>31</v>
      </c>
      <c r="K74" s="16"/>
    </row>
    <row r="75" ht="15.75" customHeight="1">
      <c r="A75" s="8">
        <v>71.0</v>
      </c>
      <c r="B75" s="8">
        <v>380.0</v>
      </c>
      <c r="C75" s="9" t="s">
        <v>484</v>
      </c>
      <c r="D75" s="18" t="s">
        <v>21</v>
      </c>
      <c r="E75" s="9" t="s">
        <v>483</v>
      </c>
      <c r="F75" s="17" t="s">
        <v>360</v>
      </c>
      <c r="G75" s="9" t="s">
        <v>379</v>
      </c>
      <c r="H75" s="12" t="s">
        <v>25</v>
      </c>
      <c r="I75" s="9"/>
      <c r="J75" s="9" t="s">
        <v>31</v>
      </c>
      <c r="K75" s="16"/>
    </row>
    <row r="76" ht="15.75" customHeight="1">
      <c r="A76" s="8">
        <v>72.0</v>
      </c>
      <c r="B76" s="8">
        <v>706.0</v>
      </c>
      <c r="C76" s="9" t="s">
        <v>485</v>
      </c>
      <c r="D76" s="11" t="s">
        <v>20</v>
      </c>
      <c r="E76" s="9" t="s">
        <v>483</v>
      </c>
      <c r="F76" s="8" t="s">
        <v>370</v>
      </c>
      <c r="G76" s="9" t="s">
        <v>460</v>
      </c>
      <c r="H76" s="12" t="s">
        <v>25</v>
      </c>
      <c r="I76" s="9"/>
      <c r="J76" s="9" t="s">
        <v>31</v>
      </c>
      <c r="K76" s="16"/>
    </row>
    <row r="77" ht="15.7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7"/>
    </row>
    <row r="78" ht="15.75" customHeight="1"/>
    <row r="79" ht="45.75" customHeight="1">
      <c r="A79" s="35" t="s">
        <v>486</v>
      </c>
    </row>
    <row r="80" ht="45.75" customHeight="1">
      <c r="A80" s="35" t="s">
        <v>487</v>
      </c>
    </row>
    <row r="81" ht="45.75" customHeight="1">
      <c r="A81" s="35" t="s">
        <v>488</v>
      </c>
    </row>
    <row r="82" ht="45.75" customHeight="1">
      <c r="A82" s="35" t="s">
        <v>489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76"/>
  <mergeCells count="5">
    <mergeCell ref="A77:K77"/>
    <mergeCell ref="A79:K79"/>
    <mergeCell ref="A80:K80"/>
    <mergeCell ref="A81:K81"/>
    <mergeCell ref="A82:K82"/>
  </mergeCell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  <hyperlink r:id="rId10" ref="H14"/>
    <hyperlink r:id="rId11" ref="H15"/>
    <hyperlink r:id="rId12" ref="H16"/>
    <hyperlink r:id="rId13" ref="H17"/>
    <hyperlink r:id="rId14" ref="H18"/>
    <hyperlink r:id="rId15" ref="H19"/>
    <hyperlink r:id="rId16" ref="H20"/>
    <hyperlink r:id="rId17" ref="H21"/>
    <hyperlink r:id="rId18" ref="H22"/>
    <hyperlink r:id="rId19" ref="H23"/>
    <hyperlink r:id="rId20" ref="H24"/>
    <hyperlink r:id="rId21" ref="H25"/>
    <hyperlink r:id="rId22" ref="H26"/>
    <hyperlink r:id="rId23" ref="H27"/>
    <hyperlink r:id="rId24" ref="H28"/>
    <hyperlink r:id="rId25" ref="H29"/>
    <hyperlink r:id="rId26" ref="H30"/>
    <hyperlink r:id="rId27" ref="H31"/>
    <hyperlink r:id="rId28" ref="H32"/>
    <hyperlink r:id="rId29" ref="H33"/>
    <hyperlink r:id="rId30" ref="H34"/>
    <hyperlink r:id="rId31" ref="H35"/>
    <hyperlink r:id="rId32" ref="H36"/>
    <hyperlink r:id="rId33" ref="H37"/>
    <hyperlink r:id="rId34" ref="H38"/>
    <hyperlink r:id="rId35" ref="H39"/>
    <hyperlink r:id="rId36" ref="H40"/>
    <hyperlink r:id="rId37" ref="H41"/>
    <hyperlink r:id="rId38" ref="H42"/>
    <hyperlink r:id="rId39" ref="H43"/>
    <hyperlink r:id="rId40" ref="H44"/>
    <hyperlink r:id="rId41" ref="H45"/>
    <hyperlink r:id="rId42" ref="H46"/>
    <hyperlink r:id="rId43" ref="H47"/>
    <hyperlink r:id="rId44" ref="H48"/>
    <hyperlink r:id="rId45" ref="H49"/>
    <hyperlink r:id="rId46" ref="H50"/>
    <hyperlink r:id="rId47" ref="H51"/>
    <hyperlink r:id="rId48" ref="H52"/>
    <hyperlink r:id="rId49" ref="H53"/>
    <hyperlink r:id="rId50" ref="H54"/>
    <hyperlink r:id="rId51" ref="H55"/>
    <hyperlink r:id="rId52" ref="H56"/>
    <hyperlink r:id="rId53" ref="H57"/>
    <hyperlink r:id="rId54" ref="H58"/>
    <hyperlink r:id="rId55" ref="H59"/>
    <hyperlink r:id="rId56" ref="H60"/>
    <hyperlink r:id="rId57" ref="H61"/>
    <hyperlink r:id="rId58" ref="H62"/>
    <hyperlink r:id="rId59" ref="H63"/>
    <hyperlink r:id="rId60" ref="H64"/>
    <hyperlink r:id="rId61" ref="H65"/>
    <hyperlink r:id="rId62" ref="H66"/>
    <hyperlink r:id="rId63" ref="H67"/>
    <hyperlink r:id="rId64" ref="H68"/>
    <hyperlink r:id="rId65" ref="H69"/>
    <hyperlink r:id="rId66" ref="H70"/>
    <hyperlink r:id="rId67" ref="H71"/>
    <hyperlink r:id="rId68" ref="H72"/>
    <hyperlink r:id="rId69" ref="H73"/>
    <hyperlink r:id="rId70" ref="H74"/>
    <hyperlink r:id="rId71" ref="H75"/>
    <hyperlink r:id="rId72" ref="H76"/>
  </hyperlinks>
  <printOptions/>
  <pageMargins bottom="1.0" footer="0.0" header="0.0" left="0.75" right="0.75" top="1.0"/>
  <pageSetup paperSize="9" orientation="portrait"/>
  <drawing r:id="rId7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2026-08-01T07:20:51Z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